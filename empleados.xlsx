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0D953C15-A58A-48D7-BDEF-EE53B0665D77}" xr6:coauthVersionLast="47" xr6:coauthVersionMax="47" xr10:uidLastSave="{00000000-0000-0000-0000-000000000000}"/>
  <bookViews>
    <workbookView xWindow="-120" yWindow="-120" windowWidth="20730" windowHeight="110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7" i="1"/>
  <c r="H4" i="1"/>
  <c r="H3" i="1"/>
  <c r="J20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" i="1"/>
  <c r="J12" i="1" l="1"/>
  <c r="J14" i="1" l="1"/>
  <c r="J8" i="1"/>
  <c r="J17" i="1"/>
  <c r="J4" i="1"/>
  <c r="J7" i="1"/>
  <c r="J5" i="1"/>
  <c r="J9" i="1"/>
  <c r="J13" i="1"/>
  <c r="J11" i="1"/>
  <c r="J18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<sst xmlns="http://schemas.openxmlformats.org/spreadsheetml/2006/main" count="52" uniqueCount="52">
  <si>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</si>
  <si>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</si>
  <si>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</si>
  <si>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</si>
  <si>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</si>
  <si>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</si>
  <si>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</si>
  <si>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</si>
  <si>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</si>
  <si>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</si>
  <si>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</si>
  <si>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</si>
  <si>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</si>
  <si>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</si>
  <si>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</si>
  <si>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</si>
  <si>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</si>
  <si>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</si>
  <si>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</si>
  <si>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</si>
  <si>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</si>
  <si>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</si>
  <si>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</si>
  <si>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</si>
  <si>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</si>
  <si>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</si>
  <si>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</si>
  <si>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</si>
  <si>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</si>
  <si>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</si>
  <si>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DIONISIO NAVARRETE JOHAN ANDREY</t>
  </si>
  <si>
    <t>NOVEDADES EFECTIVO</t>
  </si>
  <si>
    <t>DESCUENTOS EF</t>
  </si>
  <si>
    <t>COMISIONES TOTALES</t>
  </si>
  <si>
    <t>BRYAN ALEJANDRO SANCHEZ GARCIA</t>
  </si>
  <si>
    <t>1,324,000 VALES</t>
  </si>
  <si>
    <t>35,300 COOSERPARK +20,000 DONACION+217,000 PRESTAMO+76,850 VALES</t>
  </si>
  <si>
    <t>44,700 COOSERPARK+20,000 DONACION+291,229 VALES</t>
  </si>
  <si>
    <t>20.000 DONACION+1 DIA LCNR+9922 DOMINICAL</t>
  </si>
  <si>
    <t>3 DIAS VACAS+139,362 VALES</t>
  </si>
  <si>
    <t>44,700 COOSERPARK+20,000 DONACION</t>
  </si>
  <si>
    <t>35,300 COOSERPARK +20,000 DONACION+34,760 PLAN CELULAR</t>
  </si>
  <si>
    <t>20.000 DONACION</t>
  </si>
  <si>
    <t>27,000 VALES+150,000 CARTERA AURA</t>
  </si>
  <si>
    <t>20.000 DONACION+600,000 VALE</t>
  </si>
  <si>
    <t>100,000 DONACION</t>
  </si>
  <si>
    <t>20.000 DONACION+194,654 VALE</t>
  </si>
  <si>
    <t>20.000 DONACION+213,600 PRESTAMO+23,000 VALE</t>
  </si>
  <si>
    <t>70,000 DONACION+183,670 PRESTAMO</t>
  </si>
  <si>
    <t>60,000 VALES</t>
  </si>
  <si>
    <t>1 DIA AUSENCIA+DOMINICAL+2 DIAS INCP+200,000 VALES</t>
  </si>
  <si>
    <t>20,000 DONACION+1 DIA LCNR+9922 DOMINICAL+100,000 VALES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</si>
</sst>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u val="singleAccounting"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4" fontId="7" fillId="2" borderId="1" xfId="3" applyNumberFormat="1" applyFont="1" applyFill="1" applyBorder="1" applyAlignment="1">
      <alignment horizontal="left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1"/>
  <sheetViews>
    <sheetView tabSelected="1" topLeftCell="F6" workbookViewId="0">
      <selection activeCell="J15" sqref="J15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33</v>
      </c>
      <c r="L1" s="8" t="s">
        <v>10</v>
      </c>
      <c r="M1" s="8" t="s">
        <v>11</v>
      </c>
      <c r="N1" s="9" t="s">
        <v>32</v>
      </c>
      <c r="O1" s="9" t="s">
        <v>31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0</v>
      </c>
      <c r="G2" s="13">
        <v>0</v>
      </c>
      <c r="H2" s="13">
        <v>1324000</v>
      </c>
      <c r="I2" s="20" t="s">
        <v>35</v>
      </c>
      <c r="J2" s="13">
        <f>+C2+D2+E2-F2+G2-H2</f>
        <v>2676000.0000000005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0</v>
      </c>
      <c r="G3" s="13">
        <v>0</v>
      </c>
      <c r="H3" s="13">
        <f>313850+35300</f>
        <v>349150</v>
      </c>
      <c r="I3" s="21" t="s">
        <v>36</v>
      </c>
      <c r="J3" s="13">
        <f t="shared" ref="J3:J18" si="0">+C3+D3+E3-F3+G3-H3</f>
        <v>650850</v>
      </c>
      <c r="K3" s="13">
        <v>0</v>
      </c>
      <c r="L3" s="13">
        <v>0</v>
      </c>
      <c r="M3" s="13">
        <v>0</v>
      </c>
      <c r="N3" s="14">
        <v>0</v>
      </c>
      <c r="O3" s="22"/>
      <c r="P3" s="14">
        <f>L3-M3-N3</f>
        <v>0</v>
      </c>
    </row>
    <row r="4" spans="1:16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0</v>
      </c>
      <c r="G4" s="13">
        <v>0</v>
      </c>
      <c r="H4" s="13">
        <f>311229+44700</f>
        <v>355929</v>
      </c>
      <c r="I4" s="22" t="s">
        <v>37</v>
      </c>
      <c r="J4" s="13">
        <f t="shared" si="0"/>
        <v>644071</v>
      </c>
      <c r="K4" s="13">
        <v>0</v>
      </c>
      <c r="L4" s="13">
        <v>0</v>
      </c>
      <c r="M4" s="13">
        <v>0</v>
      </c>
      <c r="N4" s="14">
        <v>0</v>
      </c>
      <c r="O4" s="25"/>
      <c r="P4" s="14">
        <f t="shared" ref="P4:P19" si="1">L4-M4-N4</f>
        <v>0</v>
      </c>
    </row>
    <row r="5" spans="1:16" x14ac:dyDescent="0.25">
      <c r="A5" s="11">
        <v>1001045472</v>
      </c>
      <c r="B5" s="12" t="s">
        <v>16</v>
      </c>
      <c r="C5" s="4">
        <v>817089</v>
      </c>
      <c r="D5" s="5">
        <v>116244.33333333333</v>
      </c>
      <c r="E5" s="13">
        <v>0</v>
      </c>
      <c r="F5" s="13">
        <v>0</v>
      </c>
      <c r="G5" s="13">
        <v>0</v>
      </c>
      <c r="H5" s="13">
        <v>29922</v>
      </c>
      <c r="I5" s="21" t="s">
        <v>38</v>
      </c>
      <c r="J5" s="13">
        <f t="shared" si="0"/>
        <v>903411.33333333337</v>
      </c>
      <c r="K5" s="13">
        <v>0</v>
      </c>
      <c r="L5" s="13">
        <v>0</v>
      </c>
      <c r="M5" s="13">
        <v>0</v>
      </c>
      <c r="N5" s="14">
        <v>0</v>
      </c>
      <c r="O5" s="22"/>
      <c r="P5" s="14">
        <f t="shared" si="1"/>
        <v>0</v>
      </c>
    </row>
    <row r="6" spans="1:16" x14ac:dyDescent="0.25">
      <c r="A6" s="11">
        <v>80875830</v>
      </c>
      <c r="B6" s="12" t="s">
        <v>17</v>
      </c>
      <c r="C6" s="4">
        <v>700362</v>
      </c>
      <c r="D6" s="5">
        <v>91334.833333333328</v>
      </c>
      <c r="E6" s="13">
        <v>0</v>
      </c>
      <c r="F6" s="13">
        <v>0</v>
      </c>
      <c r="G6" s="13">
        <v>0</v>
      </c>
      <c r="H6" s="13">
        <v>159362</v>
      </c>
      <c r="I6" s="23" t="s">
        <v>39</v>
      </c>
      <c r="J6" s="13">
        <f t="shared" si="0"/>
        <v>632334.83333333337</v>
      </c>
      <c r="K6" s="13">
        <v>0</v>
      </c>
      <c r="L6" s="13">
        <v>0</v>
      </c>
      <c r="M6" s="13">
        <v>0</v>
      </c>
      <c r="N6" s="14">
        <v>0</v>
      </c>
      <c r="O6" s="22"/>
      <c r="P6" s="14">
        <f t="shared" si="1"/>
        <v>0</v>
      </c>
    </row>
    <row r="7" spans="1:16" x14ac:dyDescent="0.25">
      <c r="A7" s="11">
        <v>1006116706</v>
      </c>
      <c r="B7" s="12" t="s">
        <v>18</v>
      </c>
      <c r="C7" s="4">
        <v>875452.5</v>
      </c>
      <c r="D7" s="5">
        <v>124547.49999999999</v>
      </c>
      <c r="E7" s="13">
        <v>0</v>
      </c>
      <c r="F7" s="13">
        <v>0</v>
      </c>
      <c r="G7" s="13">
        <v>0</v>
      </c>
      <c r="H7" s="13">
        <f>20000+44700</f>
        <v>64700</v>
      </c>
      <c r="I7" s="21" t="s">
        <v>40</v>
      </c>
      <c r="J7" s="13">
        <f t="shared" si="0"/>
        <v>935300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1"/>
        <v>0</v>
      </c>
    </row>
    <row r="8" spans="1:16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0</v>
      </c>
      <c r="G8" s="13">
        <v>0</v>
      </c>
      <c r="H8" s="13">
        <f>316755+35300</f>
        <v>352055</v>
      </c>
      <c r="I8" s="24" t="s">
        <v>41</v>
      </c>
      <c r="J8" s="13">
        <f t="shared" si="0"/>
        <v>647945</v>
      </c>
      <c r="K8" s="13">
        <v>0</v>
      </c>
      <c r="L8" s="13">
        <v>0</v>
      </c>
      <c r="M8" s="13">
        <v>0</v>
      </c>
      <c r="N8" s="14">
        <v>0</v>
      </c>
      <c r="O8" s="25"/>
      <c r="P8" s="14">
        <f>L8-M8-N8</f>
        <v>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0</v>
      </c>
      <c r="G9" s="13">
        <v>0</v>
      </c>
      <c r="H9" s="13">
        <v>20000</v>
      </c>
      <c r="I9" s="22" t="s">
        <v>42</v>
      </c>
      <c r="J9" s="13">
        <f t="shared" si="0"/>
        <v>980000</v>
      </c>
      <c r="K9" s="13">
        <v>0</v>
      </c>
      <c r="L9" s="13">
        <v>0</v>
      </c>
      <c r="M9" s="13">
        <v>0</v>
      </c>
      <c r="N9" s="14">
        <v>0</v>
      </c>
      <c r="O9" s="22"/>
      <c r="P9" s="14">
        <f t="shared" si="1"/>
        <v>0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124547.49999999999</v>
      </c>
      <c r="E10" s="13">
        <v>0</v>
      </c>
      <c r="F10" s="13">
        <v>0</v>
      </c>
      <c r="G10" s="13">
        <v>0</v>
      </c>
      <c r="H10" s="13">
        <v>177000</v>
      </c>
      <c r="I10" s="21" t="s">
        <v>43</v>
      </c>
      <c r="J10" s="13">
        <f t="shared" si="0"/>
        <v>823000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1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0</v>
      </c>
      <c r="G11" s="13">
        <v>0</v>
      </c>
      <c r="H11" s="13"/>
      <c r="I11" s="20"/>
      <c r="J11" s="13">
        <f t="shared" si="0"/>
        <v>1199547.5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1"/>
        <v>0</v>
      </c>
    </row>
    <row r="12" spans="1:16" ht="15.75" x14ac:dyDescent="0.25">
      <c r="A12" s="11">
        <v>79593400</v>
      </c>
      <c r="B12" s="12" t="s">
        <v>23</v>
      </c>
      <c r="C12" s="4">
        <v>0</v>
      </c>
      <c r="D12" s="5">
        <v>0</v>
      </c>
      <c r="E12" s="13">
        <v>0</v>
      </c>
      <c r="F12" s="13">
        <v>0</v>
      </c>
      <c r="G12" s="13">
        <v>0</v>
      </c>
      <c r="H12" s="13"/>
      <c r="I12" s="26"/>
      <c r="J12" s="13">
        <f t="shared" si="0"/>
        <v>0</v>
      </c>
      <c r="K12" s="13">
        <v>0</v>
      </c>
      <c r="L12" s="13">
        <v>0</v>
      </c>
      <c r="M12" s="13">
        <v>0</v>
      </c>
      <c r="N12" s="14">
        <v>0</v>
      </c>
      <c r="O12" s="23"/>
      <c r="P12" s="14">
        <f t="shared" si="1"/>
        <v>0</v>
      </c>
    </row>
    <row r="13" spans="1:16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0</v>
      </c>
      <c r="G13" s="13">
        <v>0</v>
      </c>
      <c r="H13" s="13">
        <v>620000</v>
      </c>
      <c r="I13" s="20" t="s">
        <v>44</v>
      </c>
      <c r="J13" s="13">
        <f t="shared" si="0"/>
        <v>380000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1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0</v>
      </c>
      <c r="G14" s="13">
        <v>0</v>
      </c>
      <c r="H14" s="13">
        <v>100000</v>
      </c>
      <c r="I14" s="23" t="s">
        <v>45</v>
      </c>
      <c r="J14" s="13">
        <f t="shared" si="0"/>
        <v>1124547.5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1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0</v>
      </c>
      <c r="G15" s="13">
        <v>0</v>
      </c>
      <c r="H15" s="13">
        <v>214659</v>
      </c>
      <c r="I15" s="22" t="s">
        <v>46</v>
      </c>
      <c r="J15" s="13">
        <f t="shared" si="0"/>
        <v>785341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1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0</v>
      </c>
      <c r="F16" s="13">
        <v>0</v>
      </c>
      <c r="G16" s="13">
        <v>0</v>
      </c>
      <c r="H16" s="13">
        <v>256600</v>
      </c>
      <c r="I16" s="22" t="s">
        <v>47</v>
      </c>
      <c r="J16" s="13">
        <f t="shared" si="0"/>
        <v>743400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1"/>
        <v>0</v>
      </c>
    </row>
    <row r="17" spans="1:16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0</v>
      </c>
      <c r="F17" s="13">
        <v>0</v>
      </c>
      <c r="G17" s="13">
        <v>0</v>
      </c>
      <c r="H17" s="13">
        <v>253670</v>
      </c>
      <c r="I17" s="22" t="s">
        <v>48</v>
      </c>
      <c r="J17" s="13">
        <f t="shared" si="0"/>
        <v>746330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1"/>
        <v>0</v>
      </c>
    </row>
    <row r="18" spans="1:16" x14ac:dyDescent="0.25">
      <c r="A18" s="11">
        <v>1123436140</v>
      </c>
      <c r="B18" s="12" t="s">
        <v>29</v>
      </c>
      <c r="C18" s="4">
        <v>875452.5</v>
      </c>
      <c r="D18" s="5">
        <v>124547.49999999999</v>
      </c>
      <c r="E18" s="13">
        <v>0</v>
      </c>
      <c r="F18" s="13">
        <v>0</v>
      </c>
      <c r="G18" s="13">
        <v>0</v>
      </c>
      <c r="H18" s="13">
        <v>60000</v>
      </c>
      <c r="I18" s="22" t="s">
        <v>49</v>
      </c>
      <c r="J18" s="13">
        <f t="shared" si="0"/>
        <v>940000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1"/>
        <v>0</v>
      </c>
    </row>
    <row r="19" spans="1:16" x14ac:dyDescent="0.25">
      <c r="A19" s="11">
        <v>1053330769</v>
      </c>
      <c r="B19" s="12" t="s">
        <v>30</v>
      </c>
      <c r="C19" s="4">
        <v>758725.5</v>
      </c>
      <c r="D19" s="5">
        <v>91334.833333333328</v>
      </c>
      <c r="E19" s="13">
        <v>0</v>
      </c>
      <c r="F19" s="13">
        <v>0</v>
      </c>
      <c r="G19" s="13">
        <v>0</v>
      </c>
      <c r="H19" s="13">
        <v>200000</v>
      </c>
      <c r="I19" s="22" t="s">
        <v>50</v>
      </c>
      <c r="J19" s="13">
        <f>+C19+D19+E19-F19+G19-H19</f>
        <v>650060.33333333337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1"/>
        <v>0</v>
      </c>
    </row>
    <row r="20" spans="1:16" x14ac:dyDescent="0.25">
      <c r="A20" s="11">
        <v>1013673759</v>
      </c>
      <c r="B20" s="12" t="s">
        <v>34</v>
      </c>
      <c r="C20" s="4">
        <v>817089</v>
      </c>
      <c r="D20" s="5">
        <v>116244.33333333333</v>
      </c>
      <c r="E20" s="13">
        <v>0</v>
      </c>
      <c r="F20" s="13">
        <v>0</v>
      </c>
      <c r="G20" s="13">
        <v>0</v>
      </c>
      <c r="H20" s="13">
        <v>129922</v>
      </c>
      <c r="I20" s="22" t="s">
        <v>51</v>
      </c>
      <c r="J20" s="13">
        <f>+C20+D20+E20-F20+G20-H20</f>
        <v>803411.33333333337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v>0</v>
      </c>
    </row>
    <row r="21" spans="1:16" x14ac:dyDescent="0.25">
      <c r="A21" s="11"/>
      <c r="B21" s="12"/>
      <c r="C21" s="4"/>
      <c r="D21" s="5"/>
      <c r="E21" s="13"/>
      <c r="F21" s="13"/>
      <c r="G21" s="13"/>
      <c r="H21" s="13"/>
      <c r="I21" s="3"/>
      <c r="J21" s="13"/>
      <c r="K21" s="13"/>
      <c r="L21" s="13"/>
      <c r="M21" s="13"/>
      <c r="N21" s="15"/>
      <c r="O21" s="15"/>
      <c r="P2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USUARIO</cp:lastModifiedBy>
  <dcterms:created xsi:type="dcterms:W3CDTF">2026-05-28T18:34:26Z</dcterms:created>
  <dcterms:modified xsi:type="dcterms:W3CDTF">2026-08-19T18:50:17Z</dcterms:modified>
</cp:coreProperties>
</file>
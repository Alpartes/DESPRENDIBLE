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82092603-9660-4E23-AE92-9BBB33E4BCE6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" i="1" l="1"/>
</calcChain>
</file>

<file path=xl/sharedStrings.xml><?xml version="1.0" encoding="utf-8"?>
<sst xmlns="http://schemas.openxmlformats.org/spreadsheetml/2006/main" count="65" uniqueCount="65">
  <si>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</si>
  <si>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</si>
  <si>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</si>
  <si>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</si>
  <si>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</si>
  <si>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</si>
  <si>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</si>
  <si>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</si>
  <si>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</si>
  <si>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</si>
  <si>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</si>
  <si>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</si>
  <si>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</si>
  <si>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</si>
  <si>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</si>
  <si>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</si>
  <si>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</si>
  <si>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</si>
  <si>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</si>
  <si>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</si>
  <si>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</si>
  <si>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</si>
  <si>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</si>
  <si>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</si>
  <si>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</si>
  <si>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</si>
  <si>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</si>
  <si>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</si>
  <si>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</si>
  <si>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</si>
  <si>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</si>
  <si>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</si>
  <si>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BRYAN ALEJANDRO SANCHEZ GARCIA</t>
  </si>
  <si>
    <t>MICHEL STEVEN HERNANDEZ ROJAS</t>
  </si>
  <si>
    <t>OSWALDO DUCUARA  VERA</t>
  </si>
  <si>
    <t>360,000 vales</t>
  </si>
  <si>
    <t>29,871 exedente vales</t>
  </si>
  <si>
    <t>9 Dias incap</t>
  </si>
  <si>
    <t>Vacaciones+250,000 Prestamo</t>
  </si>
  <si>
    <t>35,000 (5) Caritas+18,000 sugeridos+300,000 Bono</t>
  </si>
  <si>
    <t>7,000 (1) Carita</t>
  </si>
  <si>
    <t>3 Dias incap</t>
  </si>
  <si>
    <t>3 dias incap + renuncia 26 de Agos+56,000 (8) Caritas</t>
  </si>
  <si>
    <t>203,400 Prestamo+42,000 (6) Caritas</t>
  </si>
  <si>
    <t>175,166 Prestamo+28,000 (4) caritas+30,000 sugeridos</t>
  </si>
  <si>
    <t>1 Dia Incp+49,000 (7) Caritas+10,000 1 dia dotacion</t>
  </si>
  <si>
    <t>56,000 (8) Caritas</t>
  </si>
  <si>
    <t>Ing 17 Sep+7,000 (1) carita</t>
  </si>
  <si>
    <t>276,350 Prestamo+56,000 (8) Caritas+10,000 sugeridos+292,161 VALES</t>
  </si>
  <si>
    <t>56,000 (8) CARITAS+14,000 sugeridos+77,000 CAJA + 475,654 VALES</t>
  </si>
  <si>
    <t>200,000 vales+70,000 (10) Caritas + 116,726 2 dias+30,000 3 dias dotacion+12,000 sugeridos</t>
  </si>
  <si>
    <t>35,000 (5) caritas+10,000 1 dia dotacion+20,000 sugeridos+4,441 Utilidades+578,460 VALES</t>
  </si>
  <si>
    <t>28,000 (4) Caritas+ 116,726 2 DIAS+18,000 Sugeridos+16,807 Utilidades+301,524 VALES</t>
  </si>
  <si>
    <t>Se pagan los 3 dias de aux transporte</t>
  </si>
  <si>
    <t>335,324 VALES</t>
  </si>
  <si>
    <t>100,000 VALES+35,000 (5) Caritas</t>
  </si>
  <si>
    <t>PAGO 16 DE SEPTIEMBRE POR NO AFILIACION</t>
  </si>
  <si>
    <t>VENTAS TOTALES</t>
  </si>
  <si>
    <t>RENTABILIDAD</t>
  </si>
  <si>
    <t>CARTERA</t>
  </si>
  <si>
    <t>PORCENTAJE VENTAS</t>
  </si>
  <si>
    <t>PORCENTAJE RENTABILIDAD</t>
  </si>
  <si>
    <t>PORCENTAJE CARTERA</t>
  </si>
  <si>
    <t>PORCENTAJE COMISION</t>
  </si>
  <si>
    <t>COMISION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</si>
</sst>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9" fontId="0" fillId="0" borderId="1" xfId="5" applyFont="1" applyBorder="1" applyAlignment="1">
      <alignment horizontal="center" vertical="center" wrapText="1"/>
    </xf>
  </cellXfs>
  <cellStyles count="6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  <cellStyle name="Porcentaje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W22"/>
  <sheetViews>
    <sheetView tabSelected="1" topLeftCell="J1" workbookViewId="0">
      <selection activeCell="W23" sqref="W23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1" width="19.85546875" style="18" bestFit="1" customWidth="1"/>
    <col min="12" max="12" width="16.140625" style="18" customWidth="1"/>
    <col min="13" max="13" width="15.28515625" style="10" customWidth="1"/>
    <col min="14" max="14" width="44.5703125" style="10" customWidth="1"/>
    <col min="15" max="16" width="15.85546875" style="10" customWidth="1"/>
    <col min="17" max="17" width="17.7109375" style="10" customWidth="1"/>
    <col min="18" max="18" width="15.85546875" style="10" customWidth="1"/>
    <col min="19" max="19" width="22.5703125" style="10" customWidth="1"/>
    <col min="20" max="20" width="15.85546875" style="10" customWidth="1"/>
    <col min="21" max="21" width="18.7109375" style="10" customWidth="1"/>
    <col min="22" max="22" width="15.85546875" style="18" customWidth="1"/>
    <col min="23" max="23" width="20.140625" style="10" customWidth="1"/>
    <col min="24" max="16384" width="11.42578125" style="10"/>
  </cols>
  <sheetData>
    <row r="1" spans="1:23" ht="27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31</v>
      </c>
      <c r="N1" s="9" t="s">
        <v>30</v>
      </c>
      <c r="O1" s="9" t="s">
        <v>12</v>
      </c>
      <c r="P1" s="9" t="s">
        <v>57</v>
      </c>
      <c r="Q1" s="9" t="s">
        <v>60</v>
      </c>
      <c r="R1" s="9" t="s">
        <v>58</v>
      </c>
      <c r="S1" s="9" t="s">
        <v>61</v>
      </c>
      <c r="T1" s="9" t="s">
        <v>59</v>
      </c>
      <c r="U1" s="9" t="s">
        <v>62</v>
      </c>
      <c r="V1" s="8" t="s">
        <v>64</v>
      </c>
      <c r="W1" s="8" t="s">
        <v>63</v>
      </c>
    </row>
    <row r="2" spans="1:23" ht="16.5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21">
        <v>360000</v>
      </c>
      <c r="I2" s="22" t="s">
        <v>35</v>
      </c>
      <c r="J2" s="24">
        <v>3000000.0000000005</v>
      </c>
      <c r="K2" s="13">
        <v>0</v>
      </c>
      <c r="L2" s="13">
        <v>0</v>
      </c>
      <c r="M2" s="13">
        <v>0</v>
      </c>
      <c r="N2" s="20"/>
      <c r="O2" s="14">
        <f>K2-L2-M2</f>
        <v>0</v>
      </c>
      <c r="P2" s="14"/>
      <c r="Q2" s="28"/>
      <c r="R2" s="28"/>
      <c r="S2" s="28"/>
      <c r="T2" s="14"/>
      <c r="U2" s="28"/>
      <c r="V2" s="13">
        <v>0</v>
      </c>
      <c r="W2" s="28"/>
    </row>
    <row r="3" spans="1:23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21">
        <v>29871</v>
      </c>
      <c r="I3" s="22" t="s">
        <v>36</v>
      </c>
      <c r="J3" s="25">
        <v>1530056.6</v>
      </c>
      <c r="K3" s="13">
        <v>634511</v>
      </c>
      <c r="L3" s="13">
        <v>56000</v>
      </c>
      <c r="M3" s="13">
        <v>578511</v>
      </c>
      <c r="N3" s="20" t="s">
        <v>48</v>
      </c>
      <c r="O3" s="14">
        <f t="shared" ref="O3:O21" si="0">K3-L3-M3</f>
        <v>0</v>
      </c>
      <c r="P3" s="14"/>
      <c r="Q3" s="28"/>
      <c r="R3" s="28"/>
      <c r="S3" s="28"/>
      <c r="T3" s="14"/>
      <c r="U3" s="28"/>
      <c r="V3" s="13">
        <v>1334511</v>
      </c>
      <c r="W3" s="28"/>
    </row>
    <row r="4" spans="1:23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21"/>
      <c r="I4" s="22"/>
      <c r="J4" s="25">
        <v>1459927.6</v>
      </c>
      <c r="K4" s="13">
        <v>650000</v>
      </c>
      <c r="L4" s="13">
        <v>56000</v>
      </c>
      <c r="M4" s="13">
        <v>594000</v>
      </c>
      <c r="N4" s="26" t="s">
        <v>49</v>
      </c>
      <c r="O4" s="14">
        <f t="shared" si="0"/>
        <v>0</v>
      </c>
      <c r="P4" s="14"/>
      <c r="Q4" s="28"/>
      <c r="R4" s="28"/>
      <c r="S4" s="28"/>
      <c r="T4" s="14"/>
      <c r="U4" s="28"/>
      <c r="V4" s="13">
        <v>1250000</v>
      </c>
      <c r="W4" s="28"/>
    </row>
    <row r="5" spans="1:23" ht="27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21"/>
      <c r="I5" s="22"/>
      <c r="J5" s="25">
        <v>1559927.6</v>
      </c>
      <c r="K5" s="13">
        <v>777558</v>
      </c>
      <c r="L5" s="13">
        <v>186726</v>
      </c>
      <c r="M5" s="13">
        <v>242000</v>
      </c>
      <c r="N5" s="20" t="s">
        <v>50</v>
      </c>
      <c r="O5" s="14">
        <f t="shared" si="0"/>
        <v>348832</v>
      </c>
      <c r="P5" s="14">
        <v>1500000</v>
      </c>
      <c r="Q5" s="28">
        <v>0.8</v>
      </c>
      <c r="R5" s="28">
        <v>0.35</v>
      </c>
      <c r="S5" s="28">
        <v>0.4</v>
      </c>
      <c r="T5" s="14">
        <v>7000000</v>
      </c>
      <c r="U5" s="28">
        <v>0.7</v>
      </c>
      <c r="V5" s="13">
        <v>1477558</v>
      </c>
      <c r="W5" s="28">
        <v>0.9</v>
      </c>
    </row>
    <row r="6" spans="1:23" ht="27" x14ac:dyDescent="0.25">
      <c r="A6" s="11">
        <v>80875830</v>
      </c>
      <c r="B6" s="12" t="s">
        <v>17</v>
      </c>
      <c r="C6" s="4">
        <v>875452.5</v>
      </c>
      <c r="D6" s="5">
        <v>49819</v>
      </c>
      <c r="E6" s="13">
        <v>0</v>
      </c>
      <c r="F6" s="13">
        <v>135403.32</v>
      </c>
      <c r="G6" s="13">
        <v>700000</v>
      </c>
      <c r="H6" s="21"/>
      <c r="I6" s="22" t="s">
        <v>37</v>
      </c>
      <c r="J6" s="25">
        <v>1489868.18</v>
      </c>
      <c r="K6" s="13">
        <v>1589070</v>
      </c>
      <c r="L6" s="13">
        <v>35000</v>
      </c>
      <c r="M6" s="13">
        <v>612901</v>
      </c>
      <c r="N6" s="20" t="s">
        <v>51</v>
      </c>
      <c r="O6" s="14">
        <f t="shared" si="0"/>
        <v>941169</v>
      </c>
      <c r="P6" s="14"/>
      <c r="Q6" s="28"/>
      <c r="R6" s="28"/>
      <c r="S6" s="28"/>
      <c r="T6" s="14"/>
      <c r="U6" s="28"/>
      <c r="V6" s="13">
        <v>2289070</v>
      </c>
      <c r="W6" s="28"/>
    </row>
    <row r="7" spans="1:23" ht="16.5" x14ac:dyDescent="0.25">
      <c r="A7" s="11">
        <v>1006116706</v>
      </c>
      <c r="B7" s="12" t="s">
        <v>18</v>
      </c>
      <c r="C7" s="4">
        <v>875452.5</v>
      </c>
      <c r="D7" s="5">
        <v>58122.166666666664</v>
      </c>
      <c r="E7" s="13">
        <v>0</v>
      </c>
      <c r="F7" s="13">
        <v>140072.4</v>
      </c>
      <c r="G7" s="13">
        <v>100000</v>
      </c>
      <c r="H7" s="21">
        <v>250000</v>
      </c>
      <c r="I7" s="22" t="s">
        <v>38</v>
      </c>
      <c r="J7" s="25">
        <v>643502.2666666666</v>
      </c>
      <c r="K7" s="13">
        <v>0</v>
      </c>
      <c r="L7" s="13">
        <v>0</v>
      </c>
      <c r="M7" s="13">
        <v>0</v>
      </c>
      <c r="N7" s="27"/>
      <c r="O7" s="14">
        <f t="shared" si="0"/>
        <v>0</v>
      </c>
      <c r="P7" s="14"/>
      <c r="Q7" s="28"/>
      <c r="R7" s="28"/>
      <c r="S7" s="28"/>
      <c r="T7" s="14"/>
      <c r="U7" s="28"/>
      <c r="V7" s="13">
        <v>0</v>
      </c>
      <c r="W7" s="28"/>
    </row>
    <row r="8" spans="1:23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21"/>
      <c r="I8" s="22"/>
      <c r="J8" s="25">
        <v>1559927.6</v>
      </c>
      <c r="K8" s="13">
        <v>550000</v>
      </c>
      <c r="L8" s="13">
        <v>144726</v>
      </c>
      <c r="M8" s="13">
        <v>336331</v>
      </c>
      <c r="N8" s="26" t="s">
        <v>52</v>
      </c>
      <c r="O8" s="14">
        <f t="shared" si="0"/>
        <v>68943</v>
      </c>
      <c r="P8" s="14">
        <v>1555000</v>
      </c>
      <c r="Q8" s="28">
        <v>0.7</v>
      </c>
      <c r="R8" s="28">
        <v>0.34</v>
      </c>
      <c r="S8" s="28">
        <v>0.5</v>
      </c>
      <c r="T8" s="14">
        <v>5000000</v>
      </c>
      <c r="U8" s="28">
        <v>0.5</v>
      </c>
      <c r="V8" s="13">
        <v>1250000</v>
      </c>
      <c r="W8" s="28">
        <v>0.3</v>
      </c>
    </row>
    <row r="9" spans="1:23" ht="16.5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21">
        <v>353000</v>
      </c>
      <c r="I9" s="22" t="s">
        <v>39</v>
      </c>
      <c r="J9" s="25">
        <v>806927.6</v>
      </c>
      <c r="K9" s="13">
        <v>-300000</v>
      </c>
      <c r="L9" s="13">
        <v>0</v>
      </c>
      <c r="M9" s="13">
        <v>0</v>
      </c>
      <c r="N9" s="20"/>
      <c r="O9" s="14">
        <f t="shared" si="0"/>
        <v>-300000</v>
      </c>
      <c r="P9" s="14"/>
      <c r="Q9" s="28"/>
      <c r="R9" s="28"/>
      <c r="S9" s="28"/>
      <c r="T9" s="14"/>
      <c r="U9" s="28"/>
      <c r="V9" s="13">
        <v>0</v>
      </c>
      <c r="W9" s="28"/>
    </row>
    <row r="10" spans="1:23" ht="16.5" x14ac:dyDescent="0.25">
      <c r="A10" s="11">
        <v>52767162</v>
      </c>
      <c r="B10" s="12" t="s">
        <v>21</v>
      </c>
      <c r="C10" s="4">
        <v>0</v>
      </c>
      <c r="D10" s="5">
        <v>0</v>
      </c>
      <c r="E10" s="13">
        <v>0</v>
      </c>
      <c r="F10" s="13">
        <v>0</v>
      </c>
      <c r="G10" s="13">
        <v>0</v>
      </c>
      <c r="H10" s="21"/>
      <c r="I10" s="22"/>
      <c r="J10" s="25">
        <v>0</v>
      </c>
      <c r="K10" s="13">
        <v>0</v>
      </c>
      <c r="L10" s="13">
        <v>0</v>
      </c>
      <c r="M10" s="13">
        <v>0</v>
      </c>
      <c r="N10" s="20"/>
      <c r="O10" s="14">
        <f t="shared" si="0"/>
        <v>0</v>
      </c>
      <c r="P10" s="14"/>
      <c r="Q10" s="28"/>
      <c r="R10" s="28"/>
      <c r="S10" s="28"/>
      <c r="T10" s="14"/>
      <c r="U10" s="28"/>
      <c r="V10" s="13">
        <v>0</v>
      </c>
      <c r="W10" s="28"/>
    </row>
    <row r="11" spans="1:23" ht="16.5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21"/>
      <c r="I11" s="22"/>
      <c r="J11" s="25">
        <v>1877547.5</v>
      </c>
      <c r="K11" s="13">
        <v>226987</v>
      </c>
      <c r="L11" s="13">
        <v>0</v>
      </c>
      <c r="M11" s="13">
        <v>0</v>
      </c>
      <c r="N11" s="27"/>
      <c r="O11" s="14">
        <f t="shared" si="0"/>
        <v>226987</v>
      </c>
      <c r="P11" s="14"/>
      <c r="Q11" s="28"/>
      <c r="R11" s="28"/>
      <c r="S11" s="28"/>
      <c r="T11" s="14"/>
      <c r="U11" s="28"/>
      <c r="V11" s="13">
        <v>0</v>
      </c>
      <c r="W11" s="28"/>
    </row>
    <row r="12" spans="1:23" ht="16.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21"/>
      <c r="I12" s="22"/>
      <c r="J12" s="25">
        <v>8578000</v>
      </c>
      <c r="K12" s="13">
        <v>572000</v>
      </c>
      <c r="L12" s="13">
        <v>0</v>
      </c>
      <c r="M12" s="13">
        <v>0</v>
      </c>
      <c r="N12" s="27"/>
      <c r="O12" s="14">
        <f t="shared" si="0"/>
        <v>572000</v>
      </c>
      <c r="P12" s="14"/>
      <c r="Q12" s="28"/>
      <c r="R12" s="28"/>
      <c r="S12" s="28"/>
      <c r="T12" s="14"/>
      <c r="U12" s="28"/>
      <c r="V12" s="13">
        <v>0</v>
      </c>
      <c r="W12" s="28"/>
    </row>
    <row r="13" spans="1:23" ht="16.5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140072.4</v>
      </c>
      <c r="G13" s="13">
        <v>100000</v>
      </c>
      <c r="H13" s="21">
        <v>7000</v>
      </c>
      <c r="I13" s="22" t="s">
        <v>40</v>
      </c>
      <c r="J13" s="25">
        <v>952927.6</v>
      </c>
      <c r="K13" s="13">
        <v>0</v>
      </c>
      <c r="L13" s="13">
        <v>0</v>
      </c>
      <c r="M13" s="13">
        <v>0</v>
      </c>
      <c r="N13" s="27"/>
      <c r="O13" s="14">
        <f t="shared" si="0"/>
        <v>0</v>
      </c>
      <c r="P13" s="14">
        <v>1558800000</v>
      </c>
      <c r="Q13" s="28">
        <v>1</v>
      </c>
      <c r="R13" s="28">
        <v>0.33</v>
      </c>
      <c r="S13" s="28">
        <v>0.3</v>
      </c>
      <c r="T13" s="14">
        <v>7000000</v>
      </c>
      <c r="U13" s="28">
        <v>0.3</v>
      </c>
      <c r="V13" s="13">
        <v>2289070</v>
      </c>
      <c r="W13" s="28">
        <v>0.8</v>
      </c>
    </row>
    <row r="14" spans="1:23" ht="16.5" x14ac:dyDescent="0.25">
      <c r="A14" s="11">
        <v>1015473856</v>
      </c>
      <c r="B14" s="12" t="s">
        <v>25</v>
      </c>
      <c r="C14" s="4">
        <v>1100000</v>
      </c>
      <c r="D14" s="5">
        <v>99638</v>
      </c>
      <c r="E14" s="13">
        <v>0</v>
      </c>
      <c r="F14" s="13">
        <v>146666.66666666666</v>
      </c>
      <c r="G14" s="13">
        <v>600000</v>
      </c>
      <c r="H14" s="21"/>
      <c r="I14" s="22" t="s">
        <v>41</v>
      </c>
      <c r="J14" s="25">
        <v>1652971.3333333333</v>
      </c>
      <c r="K14" s="13">
        <v>24910</v>
      </c>
      <c r="L14" s="13">
        <v>0</v>
      </c>
      <c r="M14" s="13">
        <v>0</v>
      </c>
      <c r="N14" s="27" t="s">
        <v>53</v>
      </c>
      <c r="O14" s="14">
        <f t="shared" si="0"/>
        <v>24910</v>
      </c>
      <c r="P14" s="14"/>
      <c r="Q14" s="28"/>
      <c r="R14" s="28"/>
      <c r="S14" s="28"/>
      <c r="T14" s="14"/>
      <c r="U14" s="28"/>
      <c r="V14" s="13">
        <v>0</v>
      </c>
      <c r="W14" s="28"/>
    </row>
    <row r="15" spans="1:23" ht="16.5" x14ac:dyDescent="0.25">
      <c r="A15" s="11">
        <v>1026306646</v>
      </c>
      <c r="B15" s="12" t="s">
        <v>26</v>
      </c>
      <c r="C15" s="4">
        <v>641998.5</v>
      </c>
      <c r="D15" s="5">
        <v>66425.333333333328</v>
      </c>
      <c r="E15" s="13">
        <v>80612</v>
      </c>
      <c r="F15" s="13">
        <v>121396.08</v>
      </c>
      <c r="G15" s="13">
        <v>0</v>
      </c>
      <c r="H15" s="21">
        <v>56000</v>
      </c>
      <c r="I15" s="22" t="s">
        <v>42</v>
      </c>
      <c r="J15" s="25">
        <v>611639.75333333341</v>
      </c>
      <c r="K15" s="13">
        <v>0</v>
      </c>
      <c r="L15" s="13">
        <v>0</v>
      </c>
      <c r="M15" s="13">
        <v>0</v>
      </c>
      <c r="N15" s="27"/>
      <c r="O15" s="14">
        <f t="shared" si="0"/>
        <v>0</v>
      </c>
      <c r="P15" s="14"/>
      <c r="Q15" s="28"/>
      <c r="R15" s="28"/>
      <c r="S15" s="28"/>
      <c r="T15" s="14"/>
      <c r="U15" s="28"/>
      <c r="V15" s="13">
        <v>0</v>
      </c>
      <c r="W15" s="28"/>
    </row>
    <row r="16" spans="1:23" ht="16.5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316367</v>
      </c>
      <c r="F16" s="13">
        <v>140072.4</v>
      </c>
      <c r="G16" s="13">
        <v>0</v>
      </c>
      <c r="H16" s="21">
        <v>245400</v>
      </c>
      <c r="I16" s="22" t="s">
        <v>43</v>
      </c>
      <c r="J16" s="25">
        <v>930894.6</v>
      </c>
      <c r="K16" s="13">
        <v>0</v>
      </c>
      <c r="L16" s="13">
        <v>0</v>
      </c>
      <c r="M16" s="13">
        <v>0</v>
      </c>
      <c r="N16" s="27"/>
      <c r="O16" s="14">
        <f t="shared" si="0"/>
        <v>0</v>
      </c>
      <c r="P16" s="14"/>
      <c r="Q16" s="28"/>
      <c r="R16" s="28"/>
      <c r="S16" s="28"/>
      <c r="T16" s="14"/>
      <c r="U16" s="28"/>
      <c r="V16" s="13">
        <v>0</v>
      </c>
      <c r="W16" s="28"/>
    </row>
    <row r="17" spans="1:23" ht="16.5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60861</v>
      </c>
      <c r="F17" s="13">
        <v>135403.32</v>
      </c>
      <c r="G17" s="13">
        <v>0</v>
      </c>
      <c r="H17" s="21">
        <v>233166</v>
      </c>
      <c r="I17" s="22" t="s">
        <v>44</v>
      </c>
      <c r="J17" s="25">
        <v>692291.67999999993</v>
      </c>
      <c r="K17" s="13">
        <v>335324</v>
      </c>
      <c r="L17" s="13">
        <v>0</v>
      </c>
      <c r="M17" s="13">
        <v>335324</v>
      </c>
      <c r="N17" s="27" t="s">
        <v>54</v>
      </c>
      <c r="O17" s="14">
        <f t="shared" si="0"/>
        <v>0</v>
      </c>
      <c r="P17" s="14"/>
      <c r="Q17" s="28"/>
      <c r="R17" s="28"/>
      <c r="S17" s="28"/>
      <c r="T17" s="14"/>
      <c r="U17" s="28"/>
      <c r="V17" s="13">
        <v>0</v>
      </c>
      <c r="W17" s="28"/>
    </row>
    <row r="18" spans="1:23" ht="16.5" x14ac:dyDescent="0.25">
      <c r="A18" s="11">
        <v>1053330769</v>
      </c>
      <c r="B18" s="12" t="s">
        <v>29</v>
      </c>
      <c r="C18" s="4">
        <v>875452.5</v>
      </c>
      <c r="D18" s="5">
        <v>116244.33333333333</v>
      </c>
      <c r="E18" s="13">
        <v>280770</v>
      </c>
      <c r="F18" s="13">
        <v>135403.32</v>
      </c>
      <c r="G18" s="13">
        <v>0</v>
      </c>
      <c r="H18" s="21">
        <v>59000</v>
      </c>
      <c r="I18" s="23" t="s">
        <v>45</v>
      </c>
      <c r="J18" s="25">
        <v>1078063.5133333334</v>
      </c>
      <c r="K18" s="13">
        <v>0</v>
      </c>
      <c r="L18" s="13">
        <v>0</v>
      </c>
      <c r="M18" s="13">
        <v>0</v>
      </c>
      <c r="N18" s="27"/>
      <c r="O18" s="14">
        <f t="shared" si="0"/>
        <v>0</v>
      </c>
      <c r="P18" s="14"/>
      <c r="Q18" s="28"/>
      <c r="R18" s="28"/>
      <c r="S18" s="28"/>
      <c r="T18" s="14"/>
      <c r="U18" s="28"/>
      <c r="V18" s="13">
        <v>0</v>
      </c>
      <c r="W18" s="28"/>
    </row>
    <row r="19" spans="1:23" ht="16.5" x14ac:dyDescent="0.25">
      <c r="A19" s="11">
        <v>1013673759</v>
      </c>
      <c r="B19" s="12" t="s">
        <v>32</v>
      </c>
      <c r="C19" s="4">
        <v>875452.5</v>
      </c>
      <c r="D19" s="5">
        <v>124547.49999999999</v>
      </c>
      <c r="E19" s="13">
        <v>0</v>
      </c>
      <c r="F19" s="13">
        <v>140072.4</v>
      </c>
      <c r="G19" s="13">
        <v>0</v>
      </c>
      <c r="H19" s="21"/>
      <c r="I19" s="23"/>
      <c r="J19" s="25">
        <v>859927.6</v>
      </c>
      <c r="K19" s="13">
        <v>519510</v>
      </c>
      <c r="L19" s="13">
        <v>35000</v>
      </c>
      <c r="M19" s="13">
        <v>100000</v>
      </c>
      <c r="N19" s="27" t="s">
        <v>55</v>
      </c>
      <c r="O19" s="14">
        <f t="shared" si="0"/>
        <v>384510</v>
      </c>
      <c r="P19" s="14"/>
      <c r="Q19" s="28"/>
      <c r="R19" s="28"/>
      <c r="S19" s="28"/>
      <c r="T19" s="14"/>
      <c r="U19" s="28"/>
      <c r="V19" s="13">
        <v>0</v>
      </c>
      <c r="W19" s="28"/>
    </row>
    <row r="20" spans="1:23" ht="16.5" x14ac:dyDescent="0.25">
      <c r="A20" s="11">
        <v>1003483344</v>
      </c>
      <c r="B20" s="12" t="s">
        <v>33</v>
      </c>
      <c r="C20" s="4">
        <v>875452.5</v>
      </c>
      <c r="D20" s="5">
        <v>124547.49999999999</v>
      </c>
      <c r="E20" s="13">
        <v>314406</v>
      </c>
      <c r="F20" s="13">
        <v>140072.4</v>
      </c>
      <c r="G20" s="13">
        <v>0</v>
      </c>
      <c r="H20" s="21">
        <v>56000</v>
      </c>
      <c r="I20" s="23" t="s">
        <v>46</v>
      </c>
      <c r="J20" s="25">
        <v>1118333.6000000001</v>
      </c>
      <c r="K20" s="13">
        <v>0</v>
      </c>
      <c r="L20" s="13">
        <v>0</v>
      </c>
      <c r="M20" s="13">
        <v>0</v>
      </c>
      <c r="N20" s="27"/>
      <c r="O20" s="14">
        <f t="shared" si="0"/>
        <v>0</v>
      </c>
      <c r="P20" s="14"/>
      <c r="Q20" s="28"/>
      <c r="R20" s="28"/>
      <c r="S20" s="28"/>
      <c r="T20" s="14"/>
      <c r="U20" s="28"/>
      <c r="V20" s="13">
        <v>0</v>
      </c>
      <c r="W20" s="28"/>
    </row>
    <row r="21" spans="1:23" ht="16.5" x14ac:dyDescent="0.25">
      <c r="A21" s="11">
        <v>1119210446</v>
      </c>
      <c r="B21" s="12" t="s">
        <v>34</v>
      </c>
      <c r="C21" s="4">
        <v>817089</v>
      </c>
      <c r="D21" s="5">
        <v>116244.33333333333</v>
      </c>
      <c r="E21" s="13">
        <v>171914</v>
      </c>
      <c r="F21" s="13">
        <v>65367.12</v>
      </c>
      <c r="G21" s="13">
        <v>0</v>
      </c>
      <c r="H21" s="21">
        <v>7000</v>
      </c>
      <c r="I21" s="23" t="s">
        <v>47</v>
      </c>
      <c r="J21" s="25">
        <v>1032880.2133333335</v>
      </c>
      <c r="K21" s="13">
        <v>66666.666666666672</v>
      </c>
      <c r="L21" s="13">
        <v>0</v>
      </c>
      <c r="M21" s="13">
        <v>0</v>
      </c>
      <c r="N21" s="27" t="s">
        <v>56</v>
      </c>
      <c r="O21" s="14">
        <f t="shared" si="0"/>
        <v>66666.666666666672</v>
      </c>
      <c r="P21" s="14"/>
      <c r="Q21" s="28"/>
      <c r="R21" s="28"/>
      <c r="S21" s="28"/>
      <c r="T21" s="14"/>
      <c r="U21" s="28"/>
      <c r="V21" s="13">
        <v>0</v>
      </c>
      <c r="W21" s="28"/>
    </row>
    <row r="22" spans="1:23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5"/>
      <c r="N22" s="15"/>
      <c r="O22" s="15"/>
      <c r="P22" s="15"/>
      <c r="Q22" s="28"/>
      <c r="R22" s="28"/>
      <c r="S22" s="28"/>
      <c r="T22" s="15"/>
      <c r="U22" s="28"/>
      <c r="V22" s="13"/>
      <c r="W22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2026-10-14T17:40:18Z</dcterms:modified>
</cp:coreProperties>
</file>
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6BED8768-C3CC-4B89-9F92-7130CAB743E9}" xr6:coauthVersionLast="47" xr6:coauthVersionMax="47" xr10:uidLastSave="{00000000-0000-0000-0000-000000000000}"/>
  <bookViews>
    <workbookView xWindow="-120" yWindow="-120" windowWidth="20730" windowHeight="110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" i="1" l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" i="1"/>
</calcChain>
</file>

<file path=xl/sharedStrings.xml><?xml version="1.0" encoding="utf-8"?>
<sst xmlns="http://schemas.openxmlformats.org/spreadsheetml/2006/main" count="57" uniqueCount="57">
  <si>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</si>
  <si>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</si>
  <si>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</si>
  <si>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</si>
  <si>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</si>
  <si>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</si>
  <si>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</si>
  <si>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</si>
  <si>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</si>
  <si>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</si>
  <si>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</si>
  <si>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</si>
  <si>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</si>
  <si>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</si>
  <si>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</si>
  <si>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</si>
  <si>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</si>
  <si>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</si>
  <si>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</si>
  <si>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</si>
  <si>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</si>
  <si>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</si>
  <si>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</si>
  <si>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</si>
  <si>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</si>
  <si>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</si>
  <si>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</si>
  <si>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</si>
  <si>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</si>
  <si>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</si>
  <si>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DIONISIO NAVARRETE JOHAN ANDREY</t>
  </si>
  <si>
    <t>NOVEDADES EFECTIVO</t>
  </si>
  <si>
    <t>DESCUENTOS EF</t>
  </si>
  <si>
    <t>COMISIONES TOTALES</t>
  </si>
  <si>
    <t>BRYAN ALEJANDRO SANCHEZ GARCIA</t>
  </si>
  <si>
    <t>MICHEL STEVEN HERNANDEZ ROJAS</t>
  </si>
  <si>
    <t>360,000 VALES</t>
  </si>
  <si>
    <t>250,000 PRESTAMO+7,000 CARITAS</t>
  </si>
  <si>
    <t>40,798 UTILIDADES+63,000 CARITAS+700,000 BONO+30,000 DOTACION+20,000 SUGERIDOS</t>
  </si>
  <si>
    <t>1 DIA VC+56,000 CARITAS+300,000 BONO+20,000 SUGERIDOS</t>
  </si>
  <si>
    <t>19,000 SUGERIDOS+102,320 INVENTARIO</t>
  </si>
  <si>
    <t>196,694 COMISION</t>
  </si>
  <si>
    <t>14,000 CARITAS</t>
  </si>
  <si>
    <t>VAC</t>
  </si>
  <si>
    <t>113,000 VALES+1 DIA AUSEN+1 DOMINICAL+49,000 CARITAS+20,822 VALES</t>
  </si>
  <si>
    <t>210,200 PRESTAMO+42,000 CARITAS</t>
  </si>
  <si>
    <t>180,833 PRESTAMO+7,000 CARITAS+3000 SUGERIDOS</t>
  </si>
  <si>
    <t>RENUNCIA 20 AGOS+60,000 VALES+50,000 CAMISA DOTACION ROTA+2,500 UTILIDADES+14,000 CARITAS+14,000 SUGERIDOS</t>
  </si>
  <si>
    <t>100,363 CARITAS+50,000 DOTACION</t>
  </si>
  <si>
    <t>140,000 VALES+21,000 CARITAS+10,000 DOTACION+48,586 VALES</t>
  </si>
  <si>
    <t>INGRESO EL 27 AGOS</t>
  </si>
  <si>
    <t>213,600 PRESTAMO+28,000 CARITAS+10,000 DOTACION+4,000 SUGERIDOS+237,974 VALES</t>
  </si>
  <si>
    <t>89,297 UTILIDADES+42,000 CARITAS+10,000 DOTACION+12,000 SUGERIDOS+228,860 VALES</t>
  </si>
  <si>
    <t>56,000 CARITAS+10,000 DOTACION</t>
  </si>
  <si>
    <t xml:space="preserve">8,808 UTILIDADES+56,000 DANIEL+10,000 DOTACION+32,000 SUGERIDOS+547.274 VALES </t>
  </si>
  <si>
    <t>DEVOL VACACIONES</t>
  </si>
  <si>
    <t xml:space="preserve">109,376 ABONA A VALES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</si>
</sst>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u val="singleAccounting"/>
      <sz val="9"/>
      <color rgb="FFFF0000"/>
      <name val="Century Gothic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30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4" fontId="7" fillId="2" borderId="1" xfId="3" applyNumberFormat="1" applyFont="1" applyFill="1" applyBorder="1" applyAlignment="1">
      <alignment horizontal="left" vertical="center"/>
    </xf>
    <xf numFmtId="166" fontId="6" fillId="2" borderId="2" xfId="2" applyNumberFormat="1" applyFont="1" applyFill="1" applyBorder="1" applyAlignment="1">
      <alignment horizontal="left" vertical="center" wrapText="1"/>
    </xf>
    <xf numFmtId="164" fontId="8" fillId="2" borderId="1" xfId="2" applyNumberFormat="1" applyFont="1" applyFill="1" applyBorder="1" applyAlignment="1">
      <alignment horizontal="left" vertical="center"/>
    </xf>
    <xf numFmtId="164" fontId="1" fillId="0" borderId="1" xfId="1" applyNumberFormat="1" applyFont="1" applyBorder="1" applyAlignment="1">
      <alignment horizontal="center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topLeftCell="B7" workbookViewId="0">
      <selection activeCell="D8" sqref="D8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4.5703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33</v>
      </c>
      <c r="L1" s="8" t="s">
        <v>10</v>
      </c>
      <c r="M1" s="8" t="s">
        <v>11</v>
      </c>
      <c r="N1" s="9" t="s">
        <v>32</v>
      </c>
      <c r="O1" s="9" t="s">
        <v>31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360000</v>
      </c>
      <c r="I2" s="20" t="s">
        <v>36</v>
      </c>
      <c r="J2" s="13">
        <v>3000000.0000000005</v>
      </c>
      <c r="K2" s="13">
        <v>0</v>
      </c>
      <c r="L2" s="13">
        <v>0</v>
      </c>
      <c r="M2" s="13">
        <v>0</v>
      </c>
      <c r="N2" s="14">
        <v>0</v>
      </c>
      <c r="O2" s="22"/>
      <c r="P2" s="14">
        <f>L2-M2-N2</f>
        <v>0</v>
      </c>
    </row>
    <row r="3" spans="1:16" ht="27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/>
      <c r="I3" s="21"/>
      <c r="J3" s="13">
        <v>1559927.6</v>
      </c>
      <c r="K3" s="13">
        <v>1550000</v>
      </c>
      <c r="L3" s="13">
        <v>850000</v>
      </c>
      <c r="M3" s="13">
        <v>28000</v>
      </c>
      <c r="N3" s="14">
        <v>465574</v>
      </c>
      <c r="O3" s="22" t="s">
        <v>51</v>
      </c>
      <c r="P3" s="14">
        <f>L3-M3-N3</f>
        <v>356426</v>
      </c>
    </row>
    <row r="4" spans="1:16" ht="27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13"/>
      <c r="I4" s="22"/>
      <c r="J4" s="13">
        <v>1459927.6</v>
      </c>
      <c r="K4" s="13">
        <v>1250000</v>
      </c>
      <c r="L4" s="13">
        <v>650000</v>
      </c>
      <c r="M4" s="13">
        <v>42000</v>
      </c>
      <c r="N4" s="14">
        <v>340157</v>
      </c>
      <c r="O4" s="25" t="s">
        <v>52</v>
      </c>
      <c r="P4" s="14">
        <f t="shared" ref="P4:P19" si="0">L4-M4-N4</f>
        <v>267843</v>
      </c>
    </row>
    <row r="5" spans="1:16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135403.32</v>
      </c>
      <c r="G5" s="13">
        <v>700000</v>
      </c>
      <c r="H5" s="13"/>
      <c r="I5" s="21"/>
      <c r="J5" s="13">
        <v>1564596.68</v>
      </c>
      <c r="K5" s="13">
        <v>1269670</v>
      </c>
      <c r="L5" s="13">
        <v>569670</v>
      </c>
      <c r="M5" s="13">
        <v>56000</v>
      </c>
      <c r="N5" s="14">
        <v>10000</v>
      </c>
      <c r="O5" s="22" t="s">
        <v>53</v>
      </c>
      <c r="P5" s="14">
        <f t="shared" si="0"/>
        <v>503670</v>
      </c>
    </row>
    <row r="6" spans="1:16" ht="27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126065.16</v>
      </c>
      <c r="G6" s="13">
        <v>700000</v>
      </c>
      <c r="H6" s="13"/>
      <c r="I6" s="23"/>
      <c r="J6" s="13">
        <v>1573934.84</v>
      </c>
      <c r="K6" s="13">
        <v>1739070</v>
      </c>
      <c r="L6" s="13">
        <v>1039070</v>
      </c>
      <c r="M6" s="13">
        <v>56000</v>
      </c>
      <c r="N6" s="14">
        <v>598082</v>
      </c>
      <c r="O6" s="22" t="s">
        <v>54</v>
      </c>
      <c r="P6" s="14">
        <f t="shared" si="0"/>
        <v>384988</v>
      </c>
    </row>
    <row r="7" spans="1:16" x14ac:dyDescent="0.25">
      <c r="A7" s="11">
        <v>1006116706</v>
      </c>
      <c r="B7" s="12" t="s">
        <v>18</v>
      </c>
      <c r="C7" s="4">
        <v>875452.5</v>
      </c>
      <c r="D7" s="5">
        <v>124547.49999999999</v>
      </c>
      <c r="E7" s="13">
        <v>0</v>
      </c>
      <c r="F7" s="13">
        <v>140072.4</v>
      </c>
      <c r="G7" s="13">
        <v>100000</v>
      </c>
      <c r="H7" s="13">
        <v>257000</v>
      </c>
      <c r="I7" s="21" t="s">
        <v>37</v>
      </c>
      <c r="J7" s="13">
        <v>702927.6</v>
      </c>
      <c r="K7" s="13">
        <v>0</v>
      </c>
      <c r="L7" s="13">
        <v>0</v>
      </c>
      <c r="M7" s="13">
        <v>0</v>
      </c>
      <c r="N7" s="14">
        <v>0</v>
      </c>
      <c r="O7" s="23"/>
      <c r="P7" s="14">
        <f t="shared" si="0"/>
        <v>0</v>
      </c>
    </row>
    <row r="8" spans="1:16" ht="27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853798</v>
      </c>
      <c r="I8" s="24" t="s">
        <v>38</v>
      </c>
      <c r="J8" s="13">
        <v>706129.6</v>
      </c>
      <c r="K8" s="13">
        <v>0</v>
      </c>
      <c r="L8" s="13">
        <v>0</v>
      </c>
      <c r="M8" s="13">
        <v>0</v>
      </c>
      <c r="N8" s="14">
        <v>0</v>
      </c>
      <c r="O8" s="25"/>
      <c r="P8" s="14">
        <f>L8-M8-N8</f>
        <v>0</v>
      </c>
    </row>
    <row r="9" spans="1:16" x14ac:dyDescent="0.25">
      <c r="A9" s="11">
        <v>79910037</v>
      </c>
      <c r="B9" s="12" t="s">
        <v>20</v>
      </c>
      <c r="C9" s="4">
        <v>817089</v>
      </c>
      <c r="D9" s="5">
        <v>116244.33333333333</v>
      </c>
      <c r="E9" s="13">
        <v>0</v>
      </c>
      <c r="F9" s="13">
        <v>135403.32</v>
      </c>
      <c r="G9" s="13">
        <v>300000</v>
      </c>
      <c r="H9" s="13">
        <v>376000</v>
      </c>
      <c r="I9" s="22" t="s">
        <v>39</v>
      </c>
      <c r="J9" s="13">
        <v>721930.01333333342</v>
      </c>
      <c r="K9" s="13">
        <v>0</v>
      </c>
      <c r="L9" s="13">
        <v>0</v>
      </c>
      <c r="M9" s="13">
        <v>0</v>
      </c>
      <c r="N9" s="14">
        <v>0</v>
      </c>
      <c r="O9" s="22"/>
      <c r="P9" s="14">
        <f t="shared" si="0"/>
        <v>0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124547.49999999999</v>
      </c>
      <c r="E10" s="13">
        <v>0</v>
      </c>
      <c r="F10" s="13">
        <v>140072.4</v>
      </c>
      <c r="G10" s="13">
        <v>0</v>
      </c>
      <c r="H10" s="13">
        <v>121340</v>
      </c>
      <c r="I10" s="21" t="s">
        <v>40</v>
      </c>
      <c r="J10" s="13">
        <v>738587.6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0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/>
      <c r="I11" s="20" t="s">
        <v>41</v>
      </c>
      <c r="J11" s="13">
        <v>1877547.5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0"/>
        <v>0</v>
      </c>
    </row>
    <row r="12" spans="1:16" ht="15.7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/>
      <c r="I12" s="26"/>
      <c r="J12" s="13">
        <v>8578000</v>
      </c>
      <c r="K12" s="13">
        <v>0</v>
      </c>
      <c r="L12" s="28">
        <v>572000</v>
      </c>
      <c r="M12" s="13">
        <v>0</v>
      </c>
      <c r="N12" s="14">
        <v>0</v>
      </c>
      <c r="O12" s="23"/>
      <c r="P12" s="14">
        <f t="shared" si="0"/>
        <v>572000</v>
      </c>
    </row>
    <row r="13" spans="1:16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140072.4</v>
      </c>
      <c r="G13" s="13">
        <v>100000</v>
      </c>
      <c r="H13" s="13">
        <v>14000</v>
      </c>
      <c r="I13" s="20" t="s">
        <v>42</v>
      </c>
      <c r="J13" s="13">
        <v>945927.6</v>
      </c>
      <c r="K13" s="13">
        <v>0</v>
      </c>
      <c r="L13" s="29">
        <v>0</v>
      </c>
      <c r="M13" s="13">
        <v>0</v>
      </c>
      <c r="N13" s="14">
        <v>0</v>
      </c>
      <c r="O13" s="23"/>
      <c r="P13" s="14">
        <f t="shared" si="0"/>
        <v>0</v>
      </c>
    </row>
    <row r="14" spans="1:16" x14ac:dyDescent="0.25">
      <c r="A14" s="11">
        <v>1015473856</v>
      </c>
      <c r="B14" s="12" t="s">
        <v>25</v>
      </c>
      <c r="C14" s="4">
        <v>366666.66666666663</v>
      </c>
      <c r="D14" s="5">
        <v>41515.833333333328</v>
      </c>
      <c r="E14" s="13">
        <v>0</v>
      </c>
      <c r="F14" s="13">
        <v>117333.33333333333</v>
      </c>
      <c r="G14" s="13">
        <v>600000</v>
      </c>
      <c r="H14" s="13"/>
      <c r="I14" s="23" t="s">
        <v>43</v>
      </c>
      <c r="J14" s="13">
        <v>890849.16666666663</v>
      </c>
      <c r="K14" s="13">
        <v>0</v>
      </c>
      <c r="L14" s="28">
        <f>733333+207579</f>
        <v>940912</v>
      </c>
      <c r="M14" s="13">
        <v>0</v>
      </c>
      <c r="N14" s="14">
        <v>0</v>
      </c>
      <c r="O14" s="23" t="s">
        <v>55</v>
      </c>
      <c r="P14" s="14">
        <f t="shared" si="0"/>
        <v>940912</v>
      </c>
    </row>
    <row r="15" spans="1:16" ht="27" x14ac:dyDescent="0.25">
      <c r="A15" s="11">
        <v>1026306646</v>
      </c>
      <c r="B15" s="12" t="s">
        <v>26</v>
      </c>
      <c r="C15" s="4">
        <v>758725.5</v>
      </c>
      <c r="D15" s="5">
        <v>107941.16666666666</v>
      </c>
      <c r="E15" s="13">
        <v>0</v>
      </c>
      <c r="F15" s="13">
        <v>130734.24</v>
      </c>
      <c r="G15" s="13">
        <v>0</v>
      </c>
      <c r="H15" s="13">
        <v>182822</v>
      </c>
      <c r="I15" s="22" t="s">
        <v>44</v>
      </c>
      <c r="J15" s="13">
        <v>553110.42666666664</v>
      </c>
      <c r="K15" s="13">
        <v>0</v>
      </c>
      <c r="L15" s="29">
        <v>0</v>
      </c>
      <c r="M15" s="13">
        <v>0</v>
      </c>
      <c r="N15" s="14">
        <v>0</v>
      </c>
      <c r="O15" s="23"/>
      <c r="P15" s="14">
        <f t="shared" si="0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337043</v>
      </c>
      <c r="F16" s="13">
        <v>140072.4</v>
      </c>
      <c r="G16" s="13">
        <v>0</v>
      </c>
      <c r="H16" s="13">
        <v>252200</v>
      </c>
      <c r="I16" s="22" t="s">
        <v>45</v>
      </c>
      <c r="J16" s="13">
        <v>944770.6</v>
      </c>
      <c r="K16" s="13">
        <v>0</v>
      </c>
      <c r="L16" s="29">
        <v>0</v>
      </c>
      <c r="M16" s="13">
        <v>0</v>
      </c>
      <c r="N16" s="14">
        <v>0</v>
      </c>
      <c r="O16" s="23"/>
      <c r="P16" s="14">
        <f t="shared" si="0"/>
        <v>0</v>
      </c>
    </row>
    <row r="17" spans="1:16" x14ac:dyDescent="0.25">
      <c r="A17" s="11">
        <v>1028660836</v>
      </c>
      <c r="B17" s="12" t="s">
        <v>28</v>
      </c>
      <c r="C17" s="4">
        <v>875452.5</v>
      </c>
      <c r="D17" s="5">
        <v>124547.49999999999</v>
      </c>
      <c r="E17" s="13">
        <v>160699</v>
      </c>
      <c r="F17" s="13">
        <v>140072.4</v>
      </c>
      <c r="G17" s="13">
        <v>0</v>
      </c>
      <c r="H17" s="13">
        <v>190833</v>
      </c>
      <c r="I17" s="22" t="s">
        <v>46</v>
      </c>
      <c r="J17" s="13">
        <v>829793.6</v>
      </c>
      <c r="K17" s="13">
        <v>0</v>
      </c>
      <c r="L17" s="28">
        <v>109376</v>
      </c>
      <c r="M17" s="13">
        <v>109376</v>
      </c>
      <c r="N17" s="14">
        <v>0</v>
      </c>
      <c r="O17" s="23" t="s">
        <v>56</v>
      </c>
      <c r="P17" s="14">
        <f t="shared" si="0"/>
        <v>0</v>
      </c>
    </row>
    <row r="18" spans="1:16" ht="27" x14ac:dyDescent="0.25">
      <c r="A18" s="11">
        <v>1123436140</v>
      </c>
      <c r="B18" s="12" t="s">
        <v>29</v>
      </c>
      <c r="C18" s="4">
        <v>350181</v>
      </c>
      <c r="D18" s="5">
        <v>49819</v>
      </c>
      <c r="E18" s="13">
        <v>0</v>
      </c>
      <c r="F18" s="13">
        <v>98050.680000000008</v>
      </c>
      <c r="G18" s="13">
        <v>0</v>
      </c>
      <c r="H18" s="13">
        <v>140500</v>
      </c>
      <c r="I18" s="22" t="s">
        <v>47</v>
      </c>
      <c r="J18" s="13">
        <v>161449.32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0"/>
        <v>0</v>
      </c>
    </row>
    <row r="19" spans="1:16" x14ac:dyDescent="0.25">
      <c r="A19" s="11">
        <v>1053330769</v>
      </c>
      <c r="B19" s="12" t="s">
        <v>30</v>
      </c>
      <c r="C19" s="4">
        <v>875452.5</v>
      </c>
      <c r="D19" s="5">
        <v>124547.49999999999</v>
      </c>
      <c r="E19" s="13">
        <v>270810</v>
      </c>
      <c r="F19" s="13">
        <v>130734.24</v>
      </c>
      <c r="G19" s="13">
        <v>0</v>
      </c>
      <c r="H19" s="13">
        <v>150363</v>
      </c>
      <c r="I19" s="22" t="s">
        <v>48</v>
      </c>
      <c r="J19" s="13">
        <v>989712.76</v>
      </c>
      <c r="K19" s="13">
        <v>0</v>
      </c>
      <c r="L19" s="13">
        <v>0</v>
      </c>
      <c r="M19" s="13">
        <v>0</v>
      </c>
      <c r="N19" s="14">
        <v>0</v>
      </c>
      <c r="O19" s="23"/>
      <c r="P19" s="14">
        <f t="shared" si="0"/>
        <v>0</v>
      </c>
    </row>
    <row r="20" spans="1:16" x14ac:dyDescent="0.25">
      <c r="A20" s="11">
        <v>1013673759</v>
      </c>
      <c r="B20" s="12" t="s">
        <v>34</v>
      </c>
      <c r="C20" s="4">
        <v>875452.5</v>
      </c>
      <c r="D20" s="5">
        <v>124547.49999999999</v>
      </c>
      <c r="E20" s="13">
        <v>0</v>
      </c>
      <c r="F20" s="13">
        <v>135403.32</v>
      </c>
      <c r="G20" s="13">
        <v>0</v>
      </c>
      <c r="H20" s="13">
        <v>219586</v>
      </c>
      <c r="I20" s="22" t="s">
        <v>49</v>
      </c>
      <c r="J20" s="13">
        <v>645010.67999999993</v>
      </c>
      <c r="K20" s="13">
        <v>0</v>
      </c>
      <c r="L20" s="13">
        <v>0</v>
      </c>
      <c r="M20" s="13">
        <v>0</v>
      </c>
      <c r="N20" s="14">
        <v>0</v>
      </c>
      <c r="O20" s="23"/>
      <c r="P20" s="14">
        <v>0</v>
      </c>
    </row>
    <row r="21" spans="1:16" x14ac:dyDescent="0.25">
      <c r="A21" s="11">
        <v>1003483344</v>
      </c>
      <c r="B21" s="12" t="s">
        <v>35</v>
      </c>
      <c r="C21" s="4">
        <v>291817.5</v>
      </c>
      <c r="D21" s="5">
        <v>41515.833333333328</v>
      </c>
      <c r="E21" s="13">
        <v>56313</v>
      </c>
      <c r="F21" s="13">
        <v>23345.4</v>
      </c>
      <c r="G21" s="13">
        <v>0</v>
      </c>
      <c r="H21" s="13">
        <v>0</v>
      </c>
      <c r="I21" s="27" t="s">
        <v>50</v>
      </c>
      <c r="J21" s="13">
        <v>366300.93333333329</v>
      </c>
      <c r="K21" s="13">
        <v>0</v>
      </c>
      <c r="L21" s="13">
        <v>0</v>
      </c>
      <c r="M21" s="13">
        <v>0</v>
      </c>
      <c r="N21" s="14">
        <v>0</v>
      </c>
      <c r="O21" s="23"/>
      <c r="P21" s="14">
        <v>0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USUARIO</cp:lastModifiedBy>
  <dcterms:created xsi:type="dcterms:W3CDTF">2026-05-28T18:34:26Z</dcterms:created>
  <dcterms:modified xsi:type="dcterms:W3CDTF">2026-09-04T21:35:42Z</dcterms:modified>
</cp:coreProperties>
</file>
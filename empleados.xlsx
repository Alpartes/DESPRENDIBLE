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5FC95C74-773B-4FC4-B0DA-93BA29213C63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" i="1"/>
  <c r="J12" i="1" l="1"/>
  <c r="J14" i="1" l="1"/>
  <c r="J8" i="1"/>
  <c r="J17" i="1"/>
  <c r="J4" i="1"/>
  <c r="J7" i="1"/>
  <c r="J5" i="1"/>
  <c r="J9" i="1"/>
  <c r="J13" i="1"/>
  <c r="J11" i="1"/>
  <c r="J18" i="1"/>
  <c r="J20" i="1"/>
  <c r="J19" i="1"/>
  <c r="J3" i="1"/>
  <c r="J15" i="1"/>
  <c r="J6" i="1"/>
  <c r="J2" i="1"/>
  <c r="J10" i="1"/>
  <c r="J16" i="1"/>
</calcChain>
</file>

<file path=xl/sharedStrings.xml><?xml version="1.0" encoding="utf-8"?>
<sst xmlns="http://schemas.openxmlformats.org/spreadsheetml/2006/main" count="36" uniqueCount="36">
  <si>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</si>
  <si>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</si>
  <si>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</si>
  <si>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</si>
  <si>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</si>
  <si>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</si>
  <si>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</si>
  <si>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</si>
  <si>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</si>
  <si>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</si>
  <si>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</si>
  <si>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</si>
  <si>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</si>
  <si>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</si>
  <si>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</si>
  <si>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</si>
  <si>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</si>
  <si>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</si>
  <si>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</si>
  <si>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</si>
  <si>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</si>
  <si>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</si>
  <si>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</si>
  <si>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</si>
  <si>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</si>
  <si>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</si>
  <si>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</si>
  <si>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</si>
  <si>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</si>
  <si>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</si>
  <si>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HERRERA NINCO JUAN SEBASTIAN</t>
  </si>
  <si>
    <t>DIONISIO NAVARRETE JOHAN ANDREY</t>
  </si>
  <si>
    <t>NOVEDADES EFECTIVO</t>
  </si>
  <si>
    <t>DESCUENTOS EF</t>
  </si>
  <si>
    <t>COMISIONES TOTALES</t>
  </si>
  <si>
    <t>BRYAN ALEJANDRO SANCHEZ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</si>
</sst>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2"/>
  <sheetViews>
    <sheetView tabSelected="1" workbookViewId="0">
      <selection activeCell="B10" sqref="B10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1.42578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34</v>
      </c>
      <c r="L1" s="8" t="s">
        <v>10</v>
      </c>
      <c r="M1" s="8" t="s">
        <v>11</v>
      </c>
      <c r="N1" s="9" t="s">
        <v>33</v>
      </c>
      <c r="O1" s="9" t="s">
        <v>32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13">
        <v>1000000</v>
      </c>
      <c r="I2" s="20"/>
      <c r="J2" s="13">
        <f>+C2+D2+E2-F2+G2-H2</f>
        <v>2360000.0000000005</v>
      </c>
      <c r="K2" s="13">
        <v>0</v>
      </c>
      <c r="L2" s="13">
        <v>0</v>
      </c>
      <c r="M2" s="13">
        <v>0</v>
      </c>
      <c r="N2" s="14">
        <v>0</v>
      </c>
      <c r="O2" s="22"/>
      <c r="P2" s="14">
        <f>L2-M2-N2</f>
        <v>0</v>
      </c>
    </row>
    <row r="3" spans="1:16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13">
        <v>213889</v>
      </c>
      <c r="I3" s="21"/>
      <c r="J3" s="13">
        <f t="shared" ref="J3:J19" si="0">+C3+D3+E3-F3+G3-H3</f>
        <v>1346038.6</v>
      </c>
      <c r="K3" s="13">
        <v>1702390</v>
      </c>
      <c r="L3" s="13">
        <v>1002390</v>
      </c>
      <c r="M3" s="13">
        <v>21000</v>
      </c>
      <c r="N3" s="14">
        <v>0</v>
      </c>
      <c r="O3" s="22"/>
      <c r="P3" s="14">
        <f>L3-M3-N3</f>
        <v>981390</v>
      </c>
    </row>
    <row r="4" spans="1:16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13">
        <v>450000</v>
      </c>
      <c r="I4" s="22"/>
      <c r="J4" s="13">
        <f t="shared" si="0"/>
        <v>1009927.6000000001</v>
      </c>
      <c r="K4" s="13">
        <v>1231400</v>
      </c>
      <c r="L4" s="13">
        <v>631400</v>
      </c>
      <c r="M4" s="13">
        <v>35000</v>
      </c>
      <c r="N4" s="14">
        <v>0</v>
      </c>
      <c r="O4" s="25"/>
      <c r="P4" s="14">
        <f t="shared" ref="P4:P20" si="1">L4-M4-N4</f>
        <v>596400</v>
      </c>
    </row>
    <row r="5" spans="1:16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13">
        <v>300000</v>
      </c>
      <c r="I5" s="21"/>
      <c r="J5" s="13">
        <f t="shared" si="0"/>
        <v>1259927.6000000001</v>
      </c>
      <c r="K5" s="13">
        <v>1290748</v>
      </c>
      <c r="L5" s="13">
        <v>590748</v>
      </c>
      <c r="M5" s="13">
        <v>151726</v>
      </c>
      <c r="N5" s="14">
        <v>0</v>
      </c>
      <c r="O5" s="22"/>
      <c r="P5" s="14">
        <f t="shared" si="1"/>
        <v>439022</v>
      </c>
    </row>
    <row r="6" spans="1:16" x14ac:dyDescent="0.25">
      <c r="A6" s="11">
        <v>80875830</v>
      </c>
      <c r="B6" s="12" t="s">
        <v>17</v>
      </c>
      <c r="C6" s="4">
        <v>875452.5</v>
      </c>
      <c r="D6" s="5">
        <v>124547.49999999999</v>
      </c>
      <c r="E6" s="13">
        <v>0</v>
      </c>
      <c r="F6" s="13">
        <v>135403.32</v>
      </c>
      <c r="G6" s="13">
        <v>700000</v>
      </c>
      <c r="H6" s="13">
        <v>392854</v>
      </c>
      <c r="I6" s="23"/>
      <c r="J6" s="13">
        <f t="shared" si="0"/>
        <v>1171742.68</v>
      </c>
      <c r="K6" s="13">
        <v>2232072</v>
      </c>
      <c r="L6" s="13">
        <v>1532072</v>
      </c>
      <c r="M6" s="13">
        <v>49000</v>
      </c>
      <c r="N6" s="14">
        <v>0</v>
      </c>
      <c r="O6" s="22"/>
      <c r="P6" s="14">
        <f t="shared" si="1"/>
        <v>1483072</v>
      </c>
    </row>
    <row r="7" spans="1:16" x14ac:dyDescent="0.25">
      <c r="A7" s="11">
        <v>1006116706</v>
      </c>
      <c r="B7" s="12" t="s">
        <v>18</v>
      </c>
      <c r="C7" s="4">
        <v>817089</v>
      </c>
      <c r="D7" s="5">
        <v>116244.33333333333</v>
      </c>
      <c r="E7" s="13">
        <v>0</v>
      </c>
      <c r="F7" s="13">
        <v>130734.24</v>
      </c>
      <c r="G7" s="13">
        <v>100000</v>
      </c>
      <c r="H7" s="13">
        <v>64822</v>
      </c>
      <c r="I7" s="21"/>
      <c r="J7" s="13">
        <f t="shared" si="0"/>
        <v>837777.09333333338</v>
      </c>
      <c r="K7" s="13">
        <v>0</v>
      </c>
      <c r="L7" s="13">
        <v>0</v>
      </c>
      <c r="M7" s="13">
        <v>0</v>
      </c>
      <c r="N7" s="14">
        <v>0</v>
      </c>
      <c r="O7" s="23"/>
      <c r="P7" s="14">
        <f t="shared" si="1"/>
        <v>0</v>
      </c>
    </row>
    <row r="8" spans="1:16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13">
        <v>488388</v>
      </c>
      <c r="I8" s="24"/>
      <c r="J8" s="13">
        <f t="shared" si="0"/>
        <v>1071539.6000000001</v>
      </c>
      <c r="K8" s="13">
        <v>0</v>
      </c>
      <c r="L8" s="13">
        <v>0</v>
      </c>
      <c r="M8" s="13">
        <v>0</v>
      </c>
      <c r="N8" s="14">
        <v>0</v>
      </c>
      <c r="O8" s="25"/>
      <c r="P8" s="14">
        <f>L8-M8-N8</f>
        <v>0</v>
      </c>
    </row>
    <row r="9" spans="1:16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13">
        <v>16000</v>
      </c>
      <c r="I9" s="22"/>
      <c r="J9" s="13">
        <f t="shared" si="0"/>
        <v>1143927.6000000001</v>
      </c>
      <c r="K9" s="13">
        <v>326404</v>
      </c>
      <c r="L9" s="13">
        <v>26404</v>
      </c>
      <c r="M9" s="13">
        <v>14000</v>
      </c>
      <c r="N9" s="14">
        <v>0</v>
      </c>
      <c r="O9" s="22"/>
      <c r="P9" s="14">
        <f t="shared" si="1"/>
        <v>12404</v>
      </c>
    </row>
    <row r="10" spans="1:16" x14ac:dyDescent="0.25">
      <c r="A10" s="11">
        <v>52767162</v>
      </c>
      <c r="B10" s="12" t="s">
        <v>21</v>
      </c>
      <c r="C10" s="4">
        <v>875452.5</v>
      </c>
      <c r="D10" s="5">
        <v>116244.33333333333</v>
      </c>
      <c r="E10" s="13">
        <v>0</v>
      </c>
      <c r="F10" s="13">
        <v>121396.08</v>
      </c>
      <c r="G10" s="13">
        <v>0</v>
      </c>
      <c r="H10" s="13">
        <v>58000</v>
      </c>
      <c r="I10" s="21"/>
      <c r="J10" s="13">
        <f t="shared" si="0"/>
        <v>812300.75333333341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1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13">
        <v>0</v>
      </c>
      <c r="I11" s="20"/>
      <c r="J11" s="13">
        <f t="shared" si="0"/>
        <v>1877547.5</v>
      </c>
      <c r="K11" s="13">
        <v>0</v>
      </c>
      <c r="L11" s="13">
        <v>0</v>
      </c>
      <c r="M11" s="13">
        <v>0</v>
      </c>
      <c r="N11" s="14">
        <v>0</v>
      </c>
      <c r="O11" s="23"/>
      <c r="P11" s="14">
        <f t="shared" si="1"/>
        <v>0</v>
      </c>
    </row>
    <row r="12" spans="1:16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13">
        <v>0</v>
      </c>
      <c r="I12" s="20"/>
      <c r="J12" s="13">
        <f t="shared" si="0"/>
        <v>8578000</v>
      </c>
      <c r="K12" s="13">
        <v>0</v>
      </c>
      <c r="L12" s="13">
        <v>572000</v>
      </c>
      <c r="M12" s="13">
        <v>0</v>
      </c>
      <c r="N12" s="14">
        <v>0</v>
      </c>
      <c r="O12" s="23"/>
      <c r="P12" s="14">
        <f t="shared" si="1"/>
        <v>572000</v>
      </c>
    </row>
    <row r="13" spans="1:16" x14ac:dyDescent="0.25">
      <c r="A13" s="11">
        <v>1023029896</v>
      </c>
      <c r="B13" s="12" t="s">
        <v>24</v>
      </c>
      <c r="C13" s="4">
        <v>817089</v>
      </c>
      <c r="D13" s="5">
        <v>116244.33333333333</v>
      </c>
      <c r="E13" s="13">
        <v>0</v>
      </c>
      <c r="F13" s="13">
        <v>135403.32</v>
      </c>
      <c r="G13" s="13">
        <v>100000</v>
      </c>
      <c r="H13" s="13">
        <v>7000</v>
      </c>
      <c r="I13" s="20"/>
      <c r="J13" s="13">
        <f t="shared" si="0"/>
        <v>890930.01333333342</v>
      </c>
      <c r="K13" s="13">
        <v>0</v>
      </c>
      <c r="L13" s="13">
        <v>0</v>
      </c>
      <c r="M13" s="13">
        <v>0</v>
      </c>
      <c r="N13" s="14">
        <v>0</v>
      </c>
      <c r="O13" s="23"/>
      <c r="P13" s="14">
        <f t="shared" si="1"/>
        <v>0</v>
      </c>
    </row>
    <row r="14" spans="1:16" x14ac:dyDescent="0.25">
      <c r="A14" s="11">
        <v>1015473856</v>
      </c>
      <c r="B14" s="12" t="s">
        <v>25</v>
      </c>
      <c r="C14" s="4">
        <v>1100000</v>
      </c>
      <c r="D14" s="5">
        <v>124547.49999999999</v>
      </c>
      <c r="E14" s="13">
        <v>0</v>
      </c>
      <c r="F14" s="13">
        <v>176000</v>
      </c>
      <c r="G14" s="13">
        <v>600000</v>
      </c>
      <c r="H14" s="13">
        <v>0</v>
      </c>
      <c r="I14" s="23"/>
      <c r="J14" s="13">
        <f t="shared" si="0"/>
        <v>1648547.5</v>
      </c>
      <c r="K14" s="13">
        <v>0</v>
      </c>
      <c r="L14" s="13">
        <v>0</v>
      </c>
      <c r="M14" s="13">
        <v>0</v>
      </c>
      <c r="N14" s="14">
        <v>0</v>
      </c>
      <c r="O14" s="23"/>
      <c r="P14" s="14">
        <f t="shared" si="1"/>
        <v>0</v>
      </c>
    </row>
    <row r="15" spans="1:16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140072.4</v>
      </c>
      <c r="G15" s="13">
        <v>0</v>
      </c>
      <c r="H15" s="13">
        <v>35000</v>
      </c>
      <c r="I15" s="22"/>
      <c r="J15" s="13">
        <f t="shared" si="0"/>
        <v>824927.6</v>
      </c>
      <c r="K15" s="13">
        <v>0</v>
      </c>
      <c r="L15" s="13">
        <v>0</v>
      </c>
      <c r="M15" s="13">
        <v>0</v>
      </c>
      <c r="N15" s="14">
        <v>0</v>
      </c>
      <c r="O15" s="23"/>
      <c r="P15" s="14">
        <f t="shared" si="1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396543</v>
      </c>
      <c r="F16" s="13">
        <v>140072.4</v>
      </c>
      <c r="G16" s="13">
        <v>0</v>
      </c>
      <c r="H16" s="13">
        <v>28000</v>
      </c>
      <c r="I16" s="22"/>
      <c r="J16" s="13">
        <f t="shared" si="0"/>
        <v>1228470.6000000001</v>
      </c>
      <c r="K16" s="13">
        <v>0</v>
      </c>
      <c r="L16" s="13">
        <v>0</v>
      </c>
      <c r="M16" s="13">
        <v>0</v>
      </c>
      <c r="N16" s="14">
        <v>0</v>
      </c>
      <c r="O16" s="23"/>
      <c r="P16" s="14">
        <f t="shared" si="1"/>
        <v>0</v>
      </c>
    </row>
    <row r="17" spans="1:16" x14ac:dyDescent="0.25">
      <c r="A17" s="11">
        <v>1028660836</v>
      </c>
      <c r="B17" s="12" t="s">
        <v>28</v>
      </c>
      <c r="C17" s="4">
        <v>817089</v>
      </c>
      <c r="D17" s="5">
        <v>116244.33333333333</v>
      </c>
      <c r="E17" s="13">
        <v>337121</v>
      </c>
      <c r="F17" s="13">
        <v>135403.32</v>
      </c>
      <c r="G17" s="13">
        <v>0</v>
      </c>
      <c r="H17" s="13">
        <v>291147</v>
      </c>
      <c r="I17" s="22"/>
      <c r="J17" s="13">
        <f t="shared" si="0"/>
        <v>843904.01333333342</v>
      </c>
      <c r="K17" s="13">
        <v>0</v>
      </c>
      <c r="L17" s="13">
        <v>0</v>
      </c>
      <c r="M17" s="13">
        <v>0</v>
      </c>
      <c r="N17" s="14">
        <v>0</v>
      </c>
      <c r="O17" s="23"/>
      <c r="P17" s="14">
        <f t="shared" si="1"/>
        <v>0</v>
      </c>
    </row>
    <row r="18" spans="1:16" x14ac:dyDescent="0.25">
      <c r="A18" s="11">
        <v>1123436140</v>
      </c>
      <c r="B18" s="12" t="s">
        <v>29</v>
      </c>
      <c r="C18" s="4">
        <v>817089</v>
      </c>
      <c r="D18" s="5">
        <v>116244.33333333333</v>
      </c>
      <c r="E18" s="13">
        <v>0</v>
      </c>
      <c r="F18" s="13">
        <v>135403.32</v>
      </c>
      <c r="G18" s="13">
        <v>0</v>
      </c>
      <c r="H18" s="13">
        <v>112992</v>
      </c>
      <c r="I18" s="22"/>
      <c r="J18" s="13">
        <f t="shared" si="0"/>
        <v>684938.01333333342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1"/>
        <v>0</v>
      </c>
    </row>
    <row r="19" spans="1:16" x14ac:dyDescent="0.25">
      <c r="A19" s="11">
        <v>1003950486</v>
      </c>
      <c r="B19" s="12" t="s">
        <v>30</v>
      </c>
      <c r="C19" s="4">
        <v>875452.5</v>
      </c>
      <c r="D19" s="5">
        <v>116244.33333333333</v>
      </c>
      <c r="E19" s="13">
        <v>308031</v>
      </c>
      <c r="F19" s="13">
        <v>140072.4</v>
      </c>
      <c r="G19" s="13">
        <v>0</v>
      </c>
      <c r="H19" s="13">
        <v>0</v>
      </c>
      <c r="I19" s="22"/>
      <c r="J19" s="13">
        <f t="shared" si="0"/>
        <v>1159655.4333333336</v>
      </c>
      <c r="K19" s="13">
        <v>0</v>
      </c>
      <c r="L19" s="13">
        <v>0</v>
      </c>
      <c r="M19" s="13">
        <v>0</v>
      </c>
      <c r="N19" s="14">
        <v>0</v>
      </c>
      <c r="O19" s="23"/>
      <c r="P19" s="14">
        <f t="shared" si="1"/>
        <v>0</v>
      </c>
    </row>
    <row r="20" spans="1:16" x14ac:dyDescent="0.25">
      <c r="A20" s="11">
        <v>1053330769</v>
      </c>
      <c r="B20" s="12" t="s">
        <v>31</v>
      </c>
      <c r="C20" s="4">
        <v>875452.5</v>
      </c>
      <c r="D20" s="5">
        <v>116244.33333333333</v>
      </c>
      <c r="E20" s="13">
        <v>361288</v>
      </c>
      <c r="F20" s="13">
        <v>140072.4</v>
      </c>
      <c r="G20" s="13">
        <v>0</v>
      </c>
      <c r="H20" s="13">
        <v>151729</v>
      </c>
      <c r="I20" s="22"/>
      <c r="J20" s="13">
        <f>+C20+D20+E20-F20+G20-H20</f>
        <v>1061183.4333333336</v>
      </c>
      <c r="K20" s="13">
        <v>0</v>
      </c>
      <c r="L20" s="13">
        <v>0</v>
      </c>
      <c r="M20" s="13">
        <v>0</v>
      </c>
      <c r="N20" s="14">
        <v>0</v>
      </c>
      <c r="O20" s="23"/>
      <c r="P20" s="14">
        <f t="shared" si="1"/>
        <v>0</v>
      </c>
    </row>
    <row r="21" spans="1:16" x14ac:dyDescent="0.25">
      <c r="A21" s="11">
        <v>1013673759</v>
      </c>
      <c r="B21" s="12" t="s">
        <v>35</v>
      </c>
      <c r="C21" s="4">
        <v>466908</v>
      </c>
      <c r="D21" s="5">
        <v>66425.333333333328</v>
      </c>
      <c r="E21" s="13">
        <v>0</v>
      </c>
      <c r="F21" s="13">
        <v>37352.639999999999</v>
      </c>
      <c r="G21" s="13">
        <v>0</v>
      </c>
      <c r="H21" s="13">
        <v>150000</v>
      </c>
      <c r="I21" s="22"/>
      <c r="J21" s="13">
        <f>+C21+D21+E21-F21+G21-H21</f>
        <v>345980.69333333336</v>
      </c>
      <c r="K21" s="13">
        <v>0</v>
      </c>
      <c r="L21" s="13">
        <v>0</v>
      </c>
      <c r="M21" s="13">
        <v>0</v>
      </c>
      <c r="N21" s="14">
        <v>0</v>
      </c>
      <c r="O21" s="23"/>
      <c r="P21" s="14">
        <v>0</v>
      </c>
    </row>
    <row r="22" spans="1:16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3"/>
      <c r="N22" s="15"/>
      <c r="O22" s="15"/>
      <c r="P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2026-07-29T17:58:47Z</dcterms:modified>
</cp:coreProperties>
</file>
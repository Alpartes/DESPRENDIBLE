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4F9C8EE9-AC58-42F0-BC44-B345FF2F7F95}" xr6:coauthVersionLast="47" xr6:coauthVersionMax="47" xr10:uidLastSave="{00000000-0000-0000-0000-000000000000}"/>
  <bookViews>
    <workbookView xWindow="-120" yWindow="-120" windowWidth="29040" windowHeight="1572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" i="1" l="1"/>
</calcChain>
</file>

<file path=xl/sharedStrings.xml><?xml version="1.0" encoding="utf-8"?>
<sst xmlns="http://schemas.openxmlformats.org/spreadsheetml/2006/main" count="65" uniqueCount="65">
  <si>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</si>
  <si>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</si>
  <si>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</si>
  <si>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</si>
  <si>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</si>
  <si>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</si>
  <si>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</si>
  <si>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</si>
  <si>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</si>
  <si>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</si>
  <si>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</si>
  <si>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</si>
  <si>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</si>
  <si>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</si>
  <si>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</si>
  <si>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</si>
  <si>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</si>
  <si>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</si>
  <si>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</si>
  <si>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</si>
  <si>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</si>
  <si>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</si>
  <si>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</si>
  <si>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</si>
  <si>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</si>
  <si>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</si>
  <si>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</si>
  <si>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</si>
  <si>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</si>
  <si>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DIONISIO NAVARRETE JOHAN ANDREY</t>
  </si>
  <si>
    <t>NOVEDADES EFECTIVO</t>
  </si>
  <si>
    <t>DESCUENTOS EF</t>
  </si>
  <si>
    <t>BRYAN ALEJANDRO SANCHEZ GARCIA</t>
  </si>
  <si>
    <t>MICHEL STEVEN HERNANDEZ ROJAS</t>
  </si>
  <si>
    <t>OSWALDO DUCUARA  VERA</t>
  </si>
  <si>
    <t>360,000 vales</t>
  </si>
  <si>
    <t>29,871 exedente vales</t>
  </si>
  <si>
    <t>9 Dias incap</t>
  </si>
  <si>
    <t>Vacaciones+250,000 Prestamo</t>
  </si>
  <si>
    <t>35,000 (5) Caritas+18,000 sugeridos+300,000 Bono</t>
  </si>
  <si>
    <t>7,000 (1) Carita</t>
  </si>
  <si>
    <t>3 Dias incap</t>
  </si>
  <si>
    <t>3 dias incap + renuncia 26 de Agos+56,000 (8) Caritas</t>
  </si>
  <si>
    <t>203,400 Prestamo+42,000 (6) Caritas</t>
  </si>
  <si>
    <t>175,166 Prestamo+28,000 (4) caritas+30,000 sugeridos</t>
  </si>
  <si>
    <t>1 Dia Incp+49,000 (7) Caritas+10,000 1 dia dotacion</t>
  </si>
  <si>
    <t>56,000 (8) Caritas</t>
  </si>
  <si>
    <t>Ing 17 Sep+7,000 (1) carita</t>
  </si>
  <si>
    <t>276,350 Prestamo+56,000 (8) Caritas+10,000 sugeridos+292,161 VALES</t>
  </si>
  <si>
    <t>56,000 (8) CARITAS+14,000 sugeridos+77,000 CAJA + 475,654 VALES</t>
  </si>
  <si>
    <t>200,000 vales+70,000 (10) Caritas + 116,726 2 dias+30,000 3 dias dotacion+12,000 sugeridos</t>
  </si>
  <si>
    <t>35,000 (5) caritas+10,000 1 dia dotacion+20,000 sugeridos+4,441 Utilidades+578,460 VALES</t>
  </si>
  <si>
    <t>28,000 (4) Caritas+ 116,726 2 DIAS+18,000 Sugeridos+16,807 Utilidades+301,524 VALES</t>
  </si>
  <si>
    <t>Se pagan los 3 dias de aux transporte</t>
  </si>
  <si>
    <t>335,324 VALES</t>
  </si>
  <si>
    <t>100,000 VALES+35,000 (5) Caritas</t>
  </si>
  <si>
    <t>PAGO 16 DE SEPTIEMBRE POR NO AFILIACION</t>
  </si>
  <si>
    <t>VENTAS TOTALES</t>
  </si>
  <si>
    <t>RENTABILIDAD</t>
  </si>
  <si>
    <t>CARTERA</t>
  </si>
  <si>
    <t>PORCENTAJE VENTAS</t>
  </si>
  <si>
    <t>PORCENTAJE RENTABILIDAD</t>
  </si>
  <si>
    <t>PORCENTAJE CARTERA</t>
  </si>
  <si>
    <t>COMISION TOTAL</t>
  </si>
  <si>
    <t>PORCENTAJE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</si>
</sst>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  <font>
      <b/>
      <sz val="10"/>
      <color rgb="FFFF0000"/>
      <name val="Century Gothic"/>
      <family val="2"/>
    </font>
    <font>
      <sz val="11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4" fontId="4" fillId="0" borderId="2" xfId="3" applyNumberFormat="1" applyFont="1" applyFill="1" applyBorder="1" applyAlignment="1">
      <alignment horizontal="left" vertical="center" wrapText="1"/>
    </xf>
    <xf numFmtId="0" fontId="7" fillId="0" borderId="2" xfId="4" applyFont="1" applyBorder="1" applyAlignment="1">
      <alignment horizontal="left" vertical="center" wrapText="1"/>
    </xf>
    <xf numFmtId="0" fontId="7" fillId="0" borderId="3" xfId="4" applyFont="1" applyBorder="1" applyAlignment="1">
      <alignment horizontal="left" vertical="center" wrapText="1"/>
    </xf>
    <xf numFmtId="166" fontId="8" fillId="2" borderId="2" xfId="3" applyNumberFormat="1" applyFont="1" applyFill="1" applyBorder="1" applyAlignment="1">
      <alignment horizontal="left" vertical="center" wrapText="1"/>
    </xf>
    <xf numFmtId="166" fontId="8" fillId="0" borderId="2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  <xf numFmtId="1" fontId="0" fillId="0" borderId="1" xfId="5" applyNumberFormat="1" applyFont="1" applyBorder="1" applyAlignment="1">
      <alignment horizontal="center" vertical="center" wrapText="1"/>
    </xf>
  </cellXfs>
  <cellStyles count="6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  <cellStyle name="Porcentaje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W22"/>
  <sheetViews>
    <sheetView tabSelected="1" topLeftCell="J1" workbookViewId="0">
      <selection activeCell="T16" sqref="S16:T16"/>
    </sheetView>
  </sheetViews>
  <sheetFormatPr baseColWidth="10" defaultRowHeight="15" x14ac:dyDescent="0.25"/>
  <cols>
    <col min="1" max="1" width="14.140625" style="16" customWidth="1"/>
    <col min="2" max="2" width="39.28515625" style="17" customWidth="1"/>
    <col min="3" max="3" width="12.85546875" style="18" bestFit="1" customWidth="1"/>
    <col min="4" max="4" width="16.28515625" style="18" bestFit="1" customWidth="1"/>
    <col min="5" max="5" width="12.85546875" style="18" bestFit="1" customWidth="1"/>
    <col min="6" max="6" width="16.7109375" style="18" customWidth="1"/>
    <col min="7" max="7" width="13.28515625" style="18" customWidth="1"/>
    <col min="8" max="8" width="13.85546875" style="18" customWidth="1"/>
    <col min="9" max="9" width="61.140625" style="19" customWidth="1"/>
    <col min="10" max="10" width="15" style="18" customWidth="1"/>
    <col min="11" max="11" width="19.85546875" style="18" bestFit="1" customWidth="1"/>
    <col min="12" max="12" width="16.140625" style="18" customWidth="1"/>
    <col min="13" max="13" width="15.28515625" style="10" customWidth="1"/>
    <col min="14" max="14" width="44.5703125" style="10" customWidth="1"/>
    <col min="15" max="16" width="15.85546875" style="10" customWidth="1"/>
    <col min="17" max="17" width="17.7109375" style="10" customWidth="1"/>
    <col min="18" max="18" width="15.85546875" style="10" customWidth="1"/>
    <col min="19" max="19" width="22.5703125" style="10" customWidth="1"/>
    <col min="20" max="20" width="15.85546875" style="10" customWidth="1"/>
    <col min="21" max="21" width="18.7109375" style="10" customWidth="1"/>
    <col min="22" max="22" width="15.85546875" style="18" customWidth="1"/>
    <col min="23" max="23" width="16.7109375" style="10" customWidth="1"/>
    <col min="24" max="16384" width="11.42578125" style="10"/>
  </cols>
  <sheetData>
    <row r="1" spans="1:23" ht="27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9" t="s">
        <v>31</v>
      </c>
      <c r="N1" s="9" t="s">
        <v>30</v>
      </c>
      <c r="O1" s="9" t="s">
        <v>12</v>
      </c>
      <c r="P1" s="9" t="s">
        <v>57</v>
      </c>
      <c r="Q1" s="9" t="s">
        <v>60</v>
      </c>
      <c r="R1" s="9" t="s">
        <v>58</v>
      </c>
      <c r="S1" s="9" t="s">
        <v>61</v>
      </c>
      <c r="T1" s="9" t="s">
        <v>59</v>
      </c>
      <c r="U1" s="9" t="s">
        <v>62</v>
      </c>
      <c r="V1" s="8" t="s">
        <v>63</v>
      </c>
      <c r="W1" s="8" t="s">
        <v>64</v>
      </c>
    </row>
    <row r="2" spans="1:23" ht="16.5" x14ac:dyDescent="0.25">
      <c r="A2" s="11">
        <v>52114146</v>
      </c>
      <c r="B2" s="12" t="s">
        <v>13</v>
      </c>
      <c r="C2" s="1">
        <v>4000000.0000000005</v>
      </c>
      <c r="D2" s="2">
        <v>0</v>
      </c>
      <c r="E2" s="13">
        <v>0</v>
      </c>
      <c r="F2" s="13">
        <v>640000.00000000012</v>
      </c>
      <c r="G2" s="13">
        <v>0</v>
      </c>
      <c r="H2" s="21">
        <v>360000</v>
      </c>
      <c r="I2" s="22" t="s">
        <v>35</v>
      </c>
      <c r="J2" s="24">
        <v>3000000.0000000005</v>
      </c>
      <c r="K2" s="13">
        <v>0</v>
      </c>
      <c r="L2" s="13">
        <v>0</v>
      </c>
      <c r="M2" s="13">
        <v>0</v>
      </c>
      <c r="N2" s="20"/>
      <c r="O2" s="14">
        <f>K2-L2-M2</f>
        <v>0</v>
      </c>
      <c r="P2" s="14"/>
      <c r="Q2" s="28"/>
      <c r="R2" s="28"/>
      <c r="S2" s="28"/>
      <c r="T2" s="14"/>
      <c r="U2" s="28"/>
      <c r="V2" s="13">
        <v>0</v>
      </c>
      <c r="W2" s="28"/>
    </row>
    <row r="3" spans="1:23" ht="27" x14ac:dyDescent="0.25">
      <c r="A3" s="11">
        <v>94288721</v>
      </c>
      <c r="B3" s="12" t="s">
        <v>14</v>
      </c>
      <c r="C3" s="4">
        <v>875452.5</v>
      </c>
      <c r="D3" s="5">
        <v>124547.49999999999</v>
      </c>
      <c r="E3" s="13">
        <v>0</v>
      </c>
      <c r="F3" s="13">
        <v>140072.4</v>
      </c>
      <c r="G3" s="13">
        <v>700000</v>
      </c>
      <c r="H3" s="21">
        <v>29871</v>
      </c>
      <c r="I3" s="22" t="s">
        <v>36</v>
      </c>
      <c r="J3" s="25">
        <v>1530056.6</v>
      </c>
      <c r="K3" s="13">
        <v>634511</v>
      </c>
      <c r="L3" s="13">
        <v>56000</v>
      </c>
      <c r="M3" s="13">
        <v>578511</v>
      </c>
      <c r="N3" s="20" t="s">
        <v>48</v>
      </c>
      <c r="O3" s="14">
        <f t="shared" ref="O3:O21" si="0">K3-L3-M3</f>
        <v>0</v>
      </c>
      <c r="P3" s="14"/>
      <c r="Q3" s="28"/>
      <c r="R3" s="28"/>
      <c r="S3" s="28"/>
      <c r="T3" s="14"/>
      <c r="U3" s="28"/>
      <c r="V3" s="13">
        <v>1334511</v>
      </c>
      <c r="W3" s="28"/>
    </row>
    <row r="4" spans="1:23" ht="27" x14ac:dyDescent="0.25">
      <c r="A4" s="11">
        <v>1001200622</v>
      </c>
      <c r="B4" s="12" t="s">
        <v>15</v>
      </c>
      <c r="C4" s="4">
        <v>875452.5</v>
      </c>
      <c r="D4" s="5">
        <v>124547.49999999999</v>
      </c>
      <c r="E4" s="13">
        <v>0</v>
      </c>
      <c r="F4" s="13">
        <v>140072.4</v>
      </c>
      <c r="G4" s="13">
        <v>600000</v>
      </c>
      <c r="H4" s="21"/>
      <c r="I4" s="22"/>
      <c r="J4" s="25">
        <v>1459927.6</v>
      </c>
      <c r="K4" s="13">
        <v>650000</v>
      </c>
      <c r="L4" s="13">
        <v>56000</v>
      </c>
      <c r="M4" s="13">
        <v>594000</v>
      </c>
      <c r="N4" s="26" t="s">
        <v>49</v>
      </c>
      <c r="O4" s="14">
        <f t="shared" si="0"/>
        <v>0</v>
      </c>
      <c r="P4" s="14"/>
      <c r="Q4" s="28"/>
      <c r="R4" s="28"/>
      <c r="S4" s="28"/>
      <c r="T4" s="14"/>
      <c r="U4" s="28"/>
      <c r="V4" s="13">
        <v>1250000</v>
      </c>
      <c r="W4" s="28"/>
    </row>
    <row r="5" spans="1:23" ht="27" x14ac:dyDescent="0.25">
      <c r="A5" s="11">
        <v>1001045472</v>
      </c>
      <c r="B5" s="12" t="s">
        <v>16</v>
      </c>
      <c r="C5" s="4">
        <v>875452.5</v>
      </c>
      <c r="D5" s="5">
        <v>124547.49999999999</v>
      </c>
      <c r="E5" s="13">
        <v>0</v>
      </c>
      <c r="F5" s="13">
        <v>140072.4</v>
      </c>
      <c r="G5" s="13">
        <v>700000</v>
      </c>
      <c r="H5" s="21"/>
      <c r="I5" s="22"/>
      <c r="J5" s="25">
        <v>1559927.6</v>
      </c>
      <c r="K5" s="13">
        <v>777558</v>
      </c>
      <c r="L5" s="13">
        <v>186726</v>
      </c>
      <c r="M5" s="13">
        <v>242000</v>
      </c>
      <c r="N5" s="20" t="s">
        <v>50</v>
      </c>
      <c r="O5" s="14">
        <f t="shared" si="0"/>
        <v>348832</v>
      </c>
      <c r="P5" s="14">
        <v>1500000</v>
      </c>
      <c r="Q5" s="28">
        <v>80</v>
      </c>
      <c r="R5" s="28">
        <v>35</v>
      </c>
      <c r="S5" s="28">
        <v>80</v>
      </c>
      <c r="T5" s="14">
        <v>7000000</v>
      </c>
      <c r="U5" s="28">
        <v>70</v>
      </c>
      <c r="V5" s="13">
        <v>1477558</v>
      </c>
      <c r="W5" s="28">
        <v>90</v>
      </c>
    </row>
    <row r="6" spans="1:23" ht="27" x14ac:dyDescent="0.25">
      <c r="A6" s="11">
        <v>80875830</v>
      </c>
      <c r="B6" s="12" t="s">
        <v>17</v>
      </c>
      <c r="C6" s="4">
        <v>875452.5</v>
      </c>
      <c r="D6" s="5">
        <v>49819</v>
      </c>
      <c r="E6" s="13">
        <v>0</v>
      </c>
      <c r="F6" s="13">
        <v>135403.32</v>
      </c>
      <c r="G6" s="13">
        <v>700000</v>
      </c>
      <c r="H6" s="21"/>
      <c r="I6" s="22" t="s">
        <v>37</v>
      </c>
      <c r="J6" s="25">
        <v>1489868.18</v>
      </c>
      <c r="K6" s="13">
        <v>1589070</v>
      </c>
      <c r="L6" s="13">
        <v>35000</v>
      </c>
      <c r="M6" s="13">
        <v>612901</v>
      </c>
      <c r="N6" s="20" t="s">
        <v>51</v>
      </c>
      <c r="O6" s="14">
        <f t="shared" si="0"/>
        <v>941169</v>
      </c>
      <c r="P6" s="14"/>
      <c r="Q6" s="28"/>
      <c r="R6" s="28"/>
      <c r="S6" s="28"/>
      <c r="T6" s="14"/>
      <c r="U6" s="28"/>
      <c r="V6" s="13">
        <v>2289070</v>
      </c>
      <c r="W6" s="28"/>
    </row>
    <row r="7" spans="1:23" ht="16.5" x14ac:dyDescent="0.25">
      <c r="A7" s="11">
        <v>1006116706</v>
      </c>
      <c r="B7" s="12" t="s">
        <v>18</v>
      </c>
      <c r="C7" s="4">
        <v>875452.5</v>
      </c>
      <c r="D7" s="5">
        <v>58122.166666666664</v>
      </c>
      <c r="E7" s="13">
        <v>0</v>
      </c>
      <c r="F7" s="13">
        <v>140072.4</v>
      </c>
      <c r="G7" s="13">
        <v>100000</v>
      </c>
      <c r="H7" s="21">
        <v>250000</v>
      </c>
      <c r="I7" s="22" t="s">
        <v>38</v>
      </c>
      <c r="J7" s="25">
        <v>643502.2666666666</v>
      </c>
      <c r="K7" s="13">
        <v>0</v>
      </c>
      <c r="L7" s="13">
        <v>0</v>
      </c>
      <c r="M7" s="13">
        <v>0</v>
      </c>
      <c r="N7" s="27"/>
      <c r="O7" s="14">
        <f t="shared" si="0"/>
        <v>0</v>
      </c>
      <c r="P7" s="14"/>
      <c r="Q7" s="28"/>
      <c r="R7" s="28"/>
      <c r="S7" s="28"/>
      <c r="T7" s="14"/>
      <c r="U7" s="28"/>
      <c r="V7" s="13">
        <v>0</v>
      </c>
      <c r="W7" s="28"/>
    </row>
    <row r="8" spans="1:23" ht="27" x14ac:dyDescent="0.25">
      <c r="A8" s="11">
        <v>1193092448</v>
      </c>
      <c r="B8" s="12" t="s">
        <v>19</v>
      </c>
      <c r="C8" s="4">
        <v>875452.5</v>
      </c>
      <c r="D8" s="5">
        <v>124547.49999999999</v>
      </c>
      <c r="E8" s="13">
        <v>0</v>
      </c>
      <c r="F8" s="13">
        <v>140072.4</v>
      </c>
      <c r="G8" s="13">
        <v>700000</v>
      </c>
      <c r="H8" s="21"/>
      <c r="I8" s="22"/>
      <c r="J8" s="25">
        <v>1559927.6</v>
      </c>
      <c r="K8" s="13">
        <v>550000</v>
      </c>
      <c r="L8" s="13">
        <v>144726</v>
      </c>
      <c r="M8" s="13">
        <v>336331</v>
      </c>
      <c r="N8" s="26" t="s">
        <v>52</v>
      </c>
      <c r="O8" s="14">
        <f t="shared" si="0"/>
        <v>68943</v>
      </c>
      <c r="P8" s="14">
        <v>1555000</v>
      </c>
      <c r="Q8" s="28">
        <v>100</v>
      </c>
      <c r="R8" s="28">
        <v>34</v>
      </c>
      <c r="S8" s="28">
        <v>90</v>
      </c>
      <c r="T8" s="14">
        <v>5000000</v>
      </c>
      <c r="U8" s="28">
        <v>50</v>
      </c>
      <c r="V8" s="13">
        <v>1250000</v>
      </c>
      <c r="W8" s="28">
        <v>30</v>
      </c>
    </row>
    <row r="9" spans="1:23" ht="16.5" x14ac:dyDescent="0.25">
      <c r="A9" s="11">
        <v>79910037</v>
      </c>
      <c r="B9" s="12" t="s">
        <v>20</v>
      </c>
      <c r="C9" s="4">
        <v>875452.5</v>
      </c>
      <c r="D9" s="5">
        <v>124547.49999999999</v>
      </c>
      <c r="E9" s="13">
        <v>0</v>
      </c>
      <c r="F9" s="13">
        <v>140072.4</v>
      </c>
      <c r="G9" s="13">
        <v>300000</v>
      </c>
      <c r="H9" s="21">
        <v>353000</v>
      </c>
      <c r="I9" s="22" t="s">
        <v>39</v>
      </c>
      <c r="J9" s="25">
        <v>806927.6</v>
      </c>
      <c r="K9" s="13">
        <v>-300000</v>
      </c>
      <c r="L9" s="13">
        <v>0</v>
      </c>
      <c r="M9" s="13">
        <v>0</v>
      </c>
      <c r="N9" s="20"/>
      <c r="O9" s="14">
        <f t="shared" si="0"/>
        <v>-300000</v>
      </c>
      <c r="P9" s="14"/>
      <c r="Q9" s="28"/>
      <c r="R9" s="28"/>
      <c r="S9" s="28"/>
      <c r="T9" s="14"/>
      <c r="U9" s="28"/>
      <c r="V9" s="13">
        <v>0</v>
      </c>
      <c r="W9" s="28"/>
    </row>
    <row r="10" spans="1:23" ht="16.5" x14ac:dyDescent="0.25">
      <c r="A10" s="11">
        <v>52767162</v>
      </c>
      <c r="B10" s="12" t="s">
        <v>21</v>
      </c>
      <c r="C10" s="4">
        <v>0</v>
      </c>
      <c r="D10" s="5">
        <v>0</v>
      </c>
      <c r="E10" s="13">
        <v>0</v>
      </c>
      <c r="F10" s="13">
        <v>0</v>
      </c>
      <c r="G10" s="13">
        <v>0</v>
      </c>
      <c r="H10" s="21"/>
      <c r="I10" s="22"/>
      <c r="J10" s="25">
        <v>0</v>
      </c>
      <c r="K10" s="13">
        <v>0</v>
      </c>
      <c r="L10" s="13">
        <v>0</v>
      </c>
      <c r="M10" s="13">
        <v>0</v>
      </c>
      <c r="N10" s="20"/>
      <c r="O10" s="14">
        <f t="shared" si="0"/>
        <v>0</v>
      </c>
      <c r="P10" s="14"/>
      <c r="Q10" s="28"/>
      <c r="R10" s="28"/>
      <c r="S10" s="28"/>
      <c r="T10" s="14"/>
      <c r="U10" s="28"/>
      <c r="V10" s="13">
        <v>0</v>
      </c>
      <c r="W10" s="28"/>
    </row>
    <row r="11" spans="1:23" ht="16.5" x14ac:dyDescent="0.25">
      <c r="A11" s="11">
        <v>1000795016</v>
      </c>
      <c r="B11" s="12" t="s">
        <v>22</v>
      </c>
      <c r="C11" s="4">
        <v>1075000</v>
      </c>
      <c r="D11" s="5">
        <v>124547.49999999999</v>
      </c>
      <c r="E11" s="13">
        <v>0</v>
      </c>
      <c r="F11" s="13">
        <v>172000</v>
      </c>
      <c r="G11" s="13">
        <v>850000</v>
      </c>
      <c r="H11" s="21"/>
      <c r="I11" s="22"/>
      <c r="J11" s="25">
        <v>1877547.5</v>
      </c>
      <c r="K11" s="13">
        <v>226987</v>
      </c>
      <c r="L11" s="13">
        <v>0</v>
      </c>
      <c r="M11" s="13">
        <v>0</v>
      </c>
      <c r="N11" s="27"/>
      <c r="O11" s="14">
        <f t="shared" si="0"/>
        <v>226987</v>
      </c>
      <c r="P11" s="14"/>
      <c r="Q11" s="28"/>
      <c r="R11" s="28"/>
      <c r="S11" s="28"/>
      <c r="T11" s="14"/>
      <c r="U11" s="28"/>
      <c r="V11" s="13">
        <v>0</v>
      </c>
      <c r="W11" s="28"/>
    </row>
    <row r="12" spans="1:23" ht="16.5" x14ac:dyDescent="0.25">
      <c r="A12" s="11">
        <v>79593400</v>
      </c>
      <c r="B12" s="12" t="s">
        <v>23</v>
      </c>
      <c r="C12" s="4">
        <v>7150000</v>
      </c>
      <c r="D12" s="5">
        <v>0</v>
      </c>
      <c r="E12" s="13">
        <v>0</v>
      </c>
      <c r="F12" s="13">
        <v>572000</v>
      </c>
      <c r="G12" s="13">
        <v>2000000</v>
      </c>
      <c r="H12" s="21"/>
      <c r="I12" s="22"/>
      <c r="J12" s="25">
        <v>8578000</v>
      </c>
      <c r="K12" s="13">
        <v>572000</v>
      </c>
      <c r="L12" s="13">
        <v>0</v>
      </c>
      <c r="M12" s="13">
        <v>0</v>
      </c>
      <c r="N12" s="27"/>
      <c r="O12" s="14">
        <f t="shared" si="0"/>
        <v>572000</v>
      </c>
      <c r="P12" s="14"/>
      <c r="Q12" s="28"/>
      <c r="R12" s="28"/>
      <c r="S12" s="28"/>
      <c r="T12" s="14"/>
      <c r="U12" s="28"/>
      <c r="V12" s="13">
        <v>0</v>
      </c>
      <c r="W12" s="28"/>
    </row>
    <row r="13" spans="1:23" ht="16.5" x14ac:dyDescent="0.25">
      <c r="A13" s="11">
        <v>1023029896</v>
      </c>
      <c r="B13" s="12" t="s">
        <v>24</v>
      </c>
      <c r="C13" s="4">
        <v>875452.5</v>
      </c>
      <c r="D13" s="5">
        <v>124547.49999999999</v>
      </c>
      <c r="E13" s="13">
        <v>0</v>
      </c>
      <c r="F13" s="13">
        <v>140072.4</v>
      </c>
      <c r="G13" s="13">
        <v>100000</v>
      </c>
      <c r="H13" s="21">
        <v>7000</v>
      </c>
      <c r="I13" s="22" t="s">
        <v>40</v>
      </c>
      <c r="J13" s="25">
        <v>952927.6</v>
      </c>
      <c r="K13" s="13">
        <v>0</v>
      </c>
      <c r="L13" s="13">
        <v>0</v>
      </c>
      <c r="M13" s="13">
        <v>0</v>
      </c>
      <c r="N13" s="27"/>
      <c r="O13" s="14">
        <f t="shared" si="0"/>
        <v>0</v>
      </c>
      <c r="P13" s="14">
        <v>1558800000</v>
      </c>
      <c r="Q13" s="28">
        <v>100</v>
      </c>
      <c r="R13" s="28">
        <v>33</v>
      </c>
      <c r="S13" s="28">
        <v>75</v>
      </c>
      <c r="T13" s="14">
        <v>7000000</v>
      </c>
      <c r="U13" s="28">
        <v>30</v>
      </c>
      <c r="V13" s="13">
        <v>2289070</v>
      </c>
      <c r="W13" s="28">
        <v>80</v>
      </c>
    </row>
    <row r="14" spans="1:23" ht="16.5" x14ac:dyDescent="0.25">
      <c r="A14" s="11">
        <v>1015473856</v>
      </c>
      <c r="B14" s="12" t="s">
        <v>25</v>
      </c>
      <c r="C14" s="4">
        <v>1100000</v>
      </c>
      <c r="D14" s="5">
        <v>99638</v>
      </c>
      <c r="E14" s="13">
        <v>0</v>
      </c>
      <c r="F14" s="13">
        <v>146666.66666666666</v>
      </c>
      <c r="G14" s="13">
        <v>600000</v>
      </c>
      <c r="H14" s="21"/>
      <c r="I14" s="22" t="s">
        <v>41</v>
      </c>
      <c r="J14" s="25">
        <v>1652971.3333333333</v>
      </c>
      <c r="K14" s="13">
        <v>24910</v>
      </c>
      <c r="L14" s="13">
        <v>0</v>
      </c>
      <c r="M14" s="13">
        <v>0</v>
      </c>
      <c r="N14" s="27" t="s">
        <v>53</v>
      </c>
      <c r="O14" s="14">
        <f t="shared" si="0"/>
        <v>24910</v>
      </c>
      <c r="P14" s="14"/>
      <c r="Q14" s="28"/>
      <c r="R14" s="28"/>
      <c r="S14" s="28"/>
      <c r="T14" s="14"/>
      <c r="U14" s="28"/>
      <c r="V14" s="13">
        <v>0</v>
      </c>
      <c r="W14" s="28"/>
    </row>
    <row r="15" spans="1:23" ht="16.5" x14ac:dyDescent="0.25">
      <c r="A15" s="11">
        <v>1026306646</v>
      </c>
      <c r="B15" s="12" t="s">
        <v>26</v>
      </c>
      <c r="C15" s="4">
        <v>641998.5</v>
      </c>
      <c r="D15" s="5">
        <v>66425.333333333328</v>
      </c>
      <c r="E15" s="13">
        <v>80612</v>
      </c>
      <c r="F15" s="13">
        <v>121396.08</v>
      </c>
      <c r="G15" s="13">
        <v>0</v>
      </c>
      <c r="H15" s="21">
        <v>56000</v>
      </c>
      <c r="I15" s="22" t="s">
        <v>42</v>
      </c>
      <c r="J15" s="25">
        <v>611639.75333333341</v>
      </c>
      <c r="K15" s="13">
        <v>0</v>
      </c>
      <c r="L15" s="13">
        <v>0</v>
      </c>
      <c r="M15" s="13">
        <v>0</v>
      </c>
      <c r="N15" s="27"/>
      <c r="O15" s="14">
        <f t="shared" si="0"/>
        <v>0</v>
      </c>
      <c r="P15" s="14"/>
      <c r="Q15" s="28"/>
      <c r="R15" s="28"/>
      <c r="S15" s="28"/>
      <c r="T15" s="14"/>
      <c r="U15" s="28"/>
      <c r="V15" s="13">
        <v>0</v>
      </c>
      <c r="W15" s="28"/>
    </row>
    <row r="16" spans="1:23" ht="16.5" x14ac:dyDescent="0.25">
      <c r="A16" s="11">
        <v>1003533086</v>
      </c>
      <c r="B16" s="12" t="s">
        <v>27</v>
      </c>
      <c r="C16" s="4">
        <v>875452.5</v>
      </c>
      <c r="D16" s="5">
        <v>124547.49999999999</v>
      </c>
      <c r="E16" s="13">
        <v>316367</v>
      </c>
      <c r="F16" s="13">
        <v>140072.4</v>
      </c>
      <c r="G16" s="13">
        <v>0</v>
      </c>
      <c r="H16" s="21">
        <v>245400</v>
      </c>
      <c r="I16" s="22" t="s">
        <v>43</v>
      </c>
      <c r="J16" s="25">
        <v>930894.6</v>
      </c>
      <c r="K16" s="13">
        <v>0</v>
      </c>
      <c r="L16" s="13">
        <v>0</v>
      </c>
      <c r="M16" s="13">
        <v>0</v>
      </c>
      <c r="N16" s="27"/>
      <c r="O16" s="14">
        <f t="shared" si="0"/>
        <v>0</v>
      </c>
      <c r="P16" s="14"/>
      <c r="Q16" s="28"/>
      <c r="R16" s="28"/>
      <c r="S16" s="28"/>
      <c r="T16" s="14"/>
      <c r="U16" s="28"/>
      <c r="V16" s="13">
        <v>0</v>
      </c>
      <c r="W16" s="28"/>
    </row>
    <row r="17" spans="1:23" ht="16.5" x14ac:dyDescent="0.25">
      <c r="A17" s="11">
        <v>1028660836</v>
      </c>
      <c r="B17" s="12" t="s">
        <v>28</v>
      </c>
      <c r="C17" s="4">
        <v>875452.5</v>
      </c>
      <c r="D17" s="5">
        <v>124547.49999999999</v>
      </c>
      <c r="E17" s="13">
        <v>60861</v>
      </c>
      <c r="F17" s="13">
        <v>135403.32</v>
      </c>
      <c r="G17" s="13">
        <v>0</v>
      </c>
      <c r="H17" s="21">
        <v>233166</v>
      </c>
      <c r="I17" s="22" t="s">
        <v>44</v>
      </c>
      <c r="J17" s="25">
        <v>692291.67999999993</v>
      </c>
      <c r="K17" s="13">
        <v>335324</v>
      </c>
      <c r="L17" s="13">
        <v>0</v>
      </c>
      <c r="M17" s="13">
        <v>335324</v>
      </c>
      <c r="N17" s="27" t="s">
        <v>54</v>
      </c>
      <c r="O17" s="14">
        <f t="shared" si="0"/>
        <v>0</v>
      </c>
      <c r="P17" s="14"/>
      <c r="Q17" s="28"/>
      <c r="R17" s="28"/>
      <c r="S17" s="28"/>
      <c r="T17" s="14"/>
      <c r="U17" s="28"/>
      <c r="V17" s="13">
        <v>0</v>
      </c>
      <c r="W17" s="28"/>
    </row>
    <row r="18" spans="1:23" ht="16.5" x14ac:dyDescent="0.25">
      <c r="A18" s="11">
        <v>1053330769</v>
      </c>
      <c r="B18" s="12" t="s">
        <v>29</v>
      </c>
      <c r="C18" s="4">
        <v>875452.5</v>
      </c>
      <c r="D18" s="5">
        <v>116244.33333333333</v>
      </c>
      <c r="E18" s="13">
        <v>280770</v>
      </c>
      <c r="F18" s="13">
        <v>135403.32</v>
      </c>
      <c r="G18" s="13">
        <v>0</v>
      </c>
      <c r="H18" s="21">
        <v>59000</v>
      </c>
      <c r="I18" s="23" t="s">
        <v>45</v>
      </c>
      <c r="J18" s="25">
        <v>1078063.5133333334</v>
      </c>
      <c r="K18" s="13">
        <v>0</v>
      </c>
      <c r="L18" s="13">
        <v>0</v>
      </c>
      <c r="M18" s="13">
        <v>0</v>
      </c>
      <c r="N18" s="27"/>
      <c r="O18" s="14">
        <f t="shared" si="0"/>
        <v>0</v>
      </c>
      <c r="P18" s="14"/>
      <c r="Q18" s="28"/>
      <c r="R18" s="28"/>
      <c r="S18" s="28"/>
      <c r="T18" s="14"/>
      <c r="U18" s="28"/>
      <c r="V18" s="13">
        <v>0</v>
      </c>
      <c r="W18" s="28"/>
    </row>
    <row r="19" spans="1:23" ht="16.5" x14ac:dyDescent="0.25">
      <c r="A19" s="11">
        <v>1013673759</v>
      </c>
      <c r="B19" s="12" t="s">
        <v>32</v>
      </c>
      <c r="C19" s="4">
        <v>875452.5</v>
      </c>
      <c r="D19" s="5">
        <v>124547.49999999999</v>
      </c>
      <c r="E19" s="13">
        <v>0</v>
      </c>
      <c r="F19" s="13">
        <v>140072.4</v>
      </c>
      <c r="G19" s="13">
        <v>0</v>
      </c>
      <c r="H19" s="21"/>
      <c r="I19" s="23"/>
      <c r="J19" s="25">
        <v>859927.6</v>
      </c>
      <c r="K19" s="13">
        <v>519510</v>
      </c>
      <c r="L19" s="13">
        <v>35000</v>
      </c>
      <c r="M19" s="13">
        <v>100000</v>
      </c>
      <c r="N19" s="27" t="s">
        <v>55</v>
      </c>
      <c r="O19" s="14">
        <f t="shared" si="0"/>
        <v>384510</v>
      </c>
      <c r="P19" s="14"/>
      <c r="Q19" s="28"/>
      <c r="R19" s="28"/>
      <c r="S19" s="28"/>
      <c r="T19" s="14"/>
      <c r="U19" s="28"/>
      <c r="V19" s="13">
        <v>0</v>
      </c>
      <c r="W19" s="28"/>
    </row>
    <row r="20" spans="1:23" ht="16.5" x14ac:dyDescent="0.25">
      <c r="A20" s="11">
        <v>1003483344</v>
      </c>
      <c r="B20" s="12" t="s">
        <v>33</v>
      </c>
      <c r="C20" s="4">
        <v>875452.5</v>
      </c>
      <c r="D20" s="5">
        <v>124547.49999999999</v>
      </c>
      <c r="E20" s="13">
        <v>314406</v>
      </c>
      <c r="F20" s="13">
        <v>140072.4</v>
      </c>
      <c r="G20" s="13">
        <v>0</v>
      </c>
      <c r="H20" s="21">
        <v>56000</v>
      </c>
      <c r="I20" s="23" t="s">
        <v>46</v>
      </c>
      <c r="J20" s="25">
        <v>1118333.6000000001</v>
      </c>
      <c r="K20" s="13">
        <v>0</v>
      </c>
      <c r="L20" s="13">
        <v>0</v>
      </c>
      <c r="M20" s="13">
        <v>0</v>
      </c>
      <c r="N20" s="27"/>
      <c r="O20" s="14">
        <f t="shared" si="0"/>
        <v>0</v>
      </c>
      <c r="P20" s="14"/>
      <c r="Q20" s="28"/>
      <c r="R20" s="28"/>
      <c r="S20" s="28"/>
      <c r="T20" s="14"/>
      <c r="U20" s="28"/>
      <c r="V20" s="13">
        <v>0</v>
      </c>
      <c r="W20" s="28"/>
    </row>
    <row r="21" spans="1:23" ht="16.5" x14ac:dyDescent="0.25">
      <c r="A21" s="11">
        <v>1119210446</v>
      </c>
      <c r="B21" s="12" t="s">
        <v>34</v>
      </c>
      <c r="C21" s="4">
        <v>817089</v>
      </c>
      <c r="D21" s="5">
        <v>116244.33333333333</v>
      </c>
      <c r="E21" s="13">
        <v>171914</v>
      </c>
      <c r="F21" s="13">
        <v>65367.12</v>
      </c>
      <c r="G21" s="13">
        <v>0</v>
      </c>
      <c r="H21" s="21">
        <v>7000</v>
      </c>
      <c r="I21" s="23" t="s">
        <v>47</v>
      </c>
      <c r="J21" s="25">
        <v>1032880.2133333335</v>
      </c>
      <c r="K21" s="13">
        <v>66666.666666666672</v>
      </c>
      <c r="L21" s="13">
        <v>0</v>
      </c>
      <c r="M21" s="13">
        <v>0</v>
      </c>
      <c r="N21" s="27" t="s">
        <v>56</v>
      </c>
      <c r="O21" s="14">
        <f t="shared" si="0"/>
        <v>66666.666666666672</v>
      </c>
      <c r="P21" s="14"/>
      <c r="Q21" s="28"/>
      <c r="R21" s="28"/>
      <c r="S21" s="28"/>
      <c r="T21" s="14"/>
      <c r="U21" s="28"/>
      <c r="V21" s="13">
        <v>0</v>
      </c>
      <c r="W21" s="28"/>
    </row>
    <row r="22" spans="1:23" x14ac:dyDescent="0.25">
      <c r="A22" s="11"/>
      <c r="B22" s="12"/>
      <c r="C22" s="4"/>
      <c r="D22" s="5"/>
      <c r="E22" s="13"/>
      <c r="F22" s="13"/>
      <c r="G22" s="13"/>
      <c r="H22" s="13"/>
      <c r="I22" s="3"/>
      <c r="J22" s="13"/>
      <c r="K22" s="13"/>
      <c r="L22" s="13"/>
      <c r="M22" s="15"/>
      <c r="N22" s="15"/>
      <c r="O22" s="15"/>
      <c r="P22" s="15"/>
      <c r="Q22" s="28"/>
      <c r="R22" s="28"/>
      <c r="S22" s="28"/>
      <c r="T22" s="15"/>
      <c r="U22" s="28"/>
      <c r="V22" s="13"/>
      <c r="W22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taxis hyundai</cp:lastModifiedBy>
  <dcterms:created xsi:type="dcterms:W3CDTF">2026-05-28T18:34:26Z</dcterms:created>
  <dcterms:modified xsi:type="dcterms:W3CDTF">2026-10-14T18:39:12Z</dcterms:modified>
</cp:coreProperties>
</file>
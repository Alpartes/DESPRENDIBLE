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Dropbox\NOMINA Y RRHH\NOMINA\"/>
    </mc:Choice>
  </mc:AlternateContent>
  <xr:revisionPtr revIDLastSave="0" documentId="13_ncr:1_{9171712A-D45C-4FC8-A78C-72B61E86E656}" xr6:coauthVersionLast="47" xr6:coauthVersionMax="47" xr10:uidLastSave="{00000000-0000-0000-0000-000000000000}"/>
  <bookViews>
    <workbookView xWindow="-120" yWindow="-120" windowWidth="20730" windowHeight="11040" xr2:uid="{DA975529-9E83-4FFA-BD35-5CA808A15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4" i="1"/>
  <c r="H3" i="1"/>
  <c r="O3" i="1"/>
  <c r="O4" i="1"/>
  <c r="O5" i="1"/>
  <c r="O6" i="1"/>
  <c r="O9" i="1"/>
  <c r="O10" i="1"/>
  <c r="O11" i="1"/>
  <c r="O12" i="1"/>
  <c r="O13" i="1"/>
  <c r="O14" i="1"/>
  <c r="O15" i="1"/>
  <c r="O16" i="1"/>
  <c r="O17" i="1"/>
  <c r="O18" i="1"/>
  <c r="O2" i="1" l="1"/>
</calcChain>
</file>

<file path=xl/sharedStrings.xml><?xml version="1.0" encoding="utf-8"?>
<sst xmlns="http://schemas.openxmlformats.org/spreadsheetml/2006/main" count="59" uniqueCount="59">
  <si>
    <t>CEDULA</t>
  </si>
  <si>
    <t>NOMBRE</t>
  </si>
  <si>
    <t>SALARIO</t>
  </si>
  <si>
    <t>AUX. TRANSPORTE</t>
  </si>
  <si>
    <t>RODAMIENTO</t>
  </si>
  <si>
    <t>SALUD Y PENSION</t>
  </si>
  <si>
    <t>BONO BANCO</t>
  </si>
  <si>
    <t>DESCUENTOS</t>
  </si>
  <si>
    <t>NOVEDADES BANCO</t>
  </si>
  <si>
    <t>TOTAL BANCOS</t>
  </si>
  <si>
    <t>COMISIONES EFECTIVO</t>
  </si>
  <si>
    <t>LLEGADAS TARDE</t>
  </si>
  <si>
    <t>TOTAL EFECTIVO</t>
  </si>
  <si>
    <t>ESCOBAR GALINDO OLGA PATRICIA</t>
  </si>
  <si>
    <t>CASTAÑEDA SANCHEZ MAURICIO</t>
  </si>
  <si>
    <t>CARDOZO REYES JUAN SEBASTIAN</t>
  </si>
  <si>
    <t>TRIVIÑO MOGOLLON FELIPE</t>
  </si>
  <si>
    <t>CHAPARRO TORRES DANIEL</t>
  </si>
  <si>
    <t>JIMENEZ LOPEZ KAREN LISETH</t>
  </si>
  <si>
    <t xml:space="preserve">COLLAZOS VELANDIA JHOAN ESNEYDER </t>
  </si>
  <si>
    <t>TRIVIÑO RIOS JOSE JULIAN</t>
  </si>
  <si>
    <t>ALVAREZ ESCOBAR JUAN ESTEBAN</t>
  </si>
  <si>
    <t>DURAN BURGOS PEDRO SIDEL</t>
  </si>
  <si>
    <t>PINZON VILLARREAL LADY VANESSA</t>
  </si>
  <si>
    <t>ALVAREZ ESCOBAR NICOLAS ENRIQUE</t>
  </si>
  <si>
    <t>SUAREZ ORTIZ DANNY ALEJANDRO</t>
  </si>
  <si>
    <t>HERNANDEZ MONTAÑO DAVID ALEXANDER</t>
  </si>
  <si>
    <t>DIONISIO NAVARRETE JOHAN ANDREY</t>
  </si>
  <si>
    <t>NOVEDADES EFECTIVO</t>
  </si>
  <si>
    <t>DESCUENTOS EF</t>
  </si>
  <si>
    <t>BRYAN ALEJANDRO SANCHEZ GARCIA</t>
  </si>
  <si>
    <t>MICHEL STEVEN HERNANDEZ ROJAS</t>
  </si>
  <si>
    <t>VENTAS TOTALES</t>
  </si>
  <si>
    <t>RENTABILIDAD</t>
  </si>
  <si>
    <t>PORCENTAJE VENTAS</t>
  </si>
  <si>
    <t>PORCENTAJE RENTABILIDAD</t>
  </si>
  <si>
    <t>PORCENTAJE CARTERA</t>
  </si>
  <si>
    <t>COMISION TOTAL</t>
  </si>
  <si>
    <t>PORCENTAJE TOTAL</t>
  </si>
  <si>
    <t>VENTAS MAYOR</t>
  </si>
  <si>
    <t>VENTAS CALLE</t>
  </si>
  <si>
    <t>COMISION MAYOR</t>
  </si>
  <si>
    <t>COMISION CALLE</t>
  </si>
  <si>
    <t>COMISION VENTAS</t>
  </si>
  <si>
    <t>CARTERA VENCIDA</t>
  </si>
  <si>
    <t>0.14</t>
  </si>
  <si>
    <t>CARLOS GUADALUPE JIMENEZ FLORIDO</t>
  </si>
  <si>
    <t>500,000 vales</t>
  </si>
  <si>
    <t>35,300 COOSERPARK+272,100 PRESTAMO+109,384 VALES</t>
  </si>
  <si>
    <t>44,700 COOSERPARK+200,000 VALES</t>
  </si>
  <si>
    <t>2 DIAS INCP</t>
  </si>
  <si>
    <t xml:space="preserve">44,700 COOSERPARK + 1 DIA LCNR </t>
  </si>
  <si>
    <t>35,300 COOSERPARK+PLAN DE DATOS SEP-OCT+63,179 VALES</t>
  </si>
  <si>
    <t>4 DIAS INCP DEVOLVER 33,213 EF</t>
  </si>
  <si>
    <t>1 DIA LCNR+172,333 PRESTAMO+43,176 VALES</t>
  </si>
  <si>
    <t>100,000 VALES</t>
  </si>
  <si>
    <t>1 DIA INCP+141,141 VALES</t>
  </si>
  <si>
    <t>DESCUENTO MEDIA DIA 13 OCT</t>
  </si>
  <si>
    <t>INIC 15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</si>
</sst>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 &quot;$&quot;\ * #,##0.00_ ;_ &quot;$&quot;\ * \-#,##0.00_ ;_ &quot;$&quot;\ * &quot;-&quot;??_ ;_ @_ "/>
    <numFmt numFmtId="166" formatCode="_ &quot;$&quot;\ * #,##0_ ;_ &quot;$&quot;\ * \-#,##0_ ;_ &quot;$&quot;\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9"/>
      <name val="Century Gothic"/>
      <family val="2"/>
    </font>
    <font>
      <b/>
      <sz val="9"/>
      <color rgb="FFFF0000"/>
      <name val="Century Gothic"/>
      <family val="2"/>
    </font>
    <font>
      <b/>
      <sz val="10"/>
      <color rgb="FFFF0000"/>
      <name val="Century Gothic"/>
      <family val="2"/>
    </font>
    <font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66" fontId="4" fillId="0" borderId="2" xfId="2" applyNumberFormat="1" applyFont="1" applyFill="1" applyBorder="1" applyAlignment="1">
      <alignment horizontal="left" vertical="center" wrapText="1"/>
    </xf>
    <xf numFmtId="166" fontId="4" fillId="0" borderId="2" xfId="3" applyNumberFormat="1" applyFont="1" applyFill="1" applyBorder="1" applyAlignment="1">
      <alignment horizontal="left" vertical="center" wrapText="1"/>
    </xf>
    <xf numFmtId="0" fontId="5" fillId="0" borderId="2" xfId="4" applyFont="1" applyBorder="1" applyAlignment="1">
      <alignment horizontal="left" vertical="center" wrapText="1"/>
    </xf>
    <xf numFmtId="166" fontId="4" fillId="0" borderId="1" xfId="2" applyNumberFormat="1" applyFont="1" applyFill="1" applyBorder="1" applyAlignment="1">
      <alignment horizontal="left" vertical="center" wrapText="1"/>
    </xf>
    <xf numFmtId="166" fontId="4" fillId="0" borderId="1" xfId="3" applyNumberFormat="1" applyFont="1" applyFill="1" applyBorder="1" applyAlignment="1">
      <alignment horizontal="left" vertical="center" wrapText="1"/>
    </xf>
    <xf numFmtId="1" fontId="2" fillId="0" borderId="1" xfId="1" applyNumberFormat="1" applyFont="1" applyFill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left" vertical="center" wrapText="1"/>
    </xf>
    <xf numFmtId="166" fontId="6" fillId="2" borderId="1" xfId="2" applyNumberFormat="1" applyFont="1" applyFill="1" applyBorder="1" applyAlignment="1">
      <alignment horizontal="left" vertical="center" wrapText="1"/>
    </xf>
    <xf numFmtId="164" fontId="4" fillId="0" borderId="2" xfId="3" applyNumberFormat="1" applyFont="1" applyFill="1" applyBorder="1" applyAlignment="1">
      <alignment horizontal="left" vertical="center" wrapText="1"/>
    </xf>
    <xf numFmtId="0" fontId="7" fillId="0" borderId="2" xfId="4" applyFont="1" applyBorder="1" applyAlignment="1">
      <alignment horizontal="left" vertical="center" wrapText="1"/>
    </xf>
    <xf numFmtId="0" fontId="7" fillId="0" borderId="3" xfId="4" applyFont="1" applyBorder="1" applyAlignment="1">
      <alignment horizontal="left" vertical="center" wrapText="1"/>
    </xf>
    <xf numFmtId="166" fontId="8" fillId="2" borderId="2" xfId="3" applyNumberFormat="1" applyFont="1" applyFill="1" applyBorder="1" applyAlignment="1">
      <alignment horizontal="left" vertical="center" wrapText="1"/>
    </xf>
    <xf numFmtId="166" fontId="8" fillId="0" borderId="2" xfId="3" applyNumberFormat="1" applyFont="1" applyFill="1" applyBorder="1" applyAlignment="1">
      <alignment horizontal="left" vertical="center" wrapText="1"/>
    </xf>
    <xf numFmtId="166" fontId="6" fillId="0" borderId="1" xfId="2" applyNumberFormat="1" applyFont="1" applyFill="1" applyBorder="1" applyAlignment="1">
      <alignment horizontal="left" vertical="center" wrapText="1"/>
    </xf>
    <xf numFmtId="166" fontId="6" fillId="2" borderId="1" xfId="2" applyNumberFormat="1" applyFont="1" applyFill="1" applyBorder="1" applyAlignment="1">
      <alignment horizontal="left" vertical="center"/>
    </xf>
    <xf numFmtId="1" fontId="0" fillId="0" borderId="1" xfId="5" applyNumberFormat="1" applyFon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 wrapText="1"/>
    </xf>
  </cellXfs>
  <cellStyles count="6">
    <cellStyle name="Moneda" xfId="1" builtinId="4"/>
    <cellStyle name="Moneda 2" xfId="2" xr:uid="{0605646B-B80A-4C57-B156-94B9E01436E0}"/>
    <cellStyle name="Moneda 3" xfId="3" xr:uid="{98C3700D-6BEC-4FA1-B713-C553F57461CF}"/>
    <cellStyle name="Normal" xfId="0" builtinId="0"/>
    <cellStyle name="Normal 2 2 2" xfId="4" xr:uid="{313DBE52-1F1C-482D-97AD-A9EF19D1DCEE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F044-EB2C-4A38-BF1B-A61CE6B829F6}">
  <dimension ref="A1:AB33"/>
  <sheetViews>
    <sheetView tabSelected="1" workbookViewId="0"/>
  </sheetViews>
  <sheetFormatPr baseColWidth="10" defaultRowHeight="15" x14ac:dyDescent="0.25"/>
  <cols>
    <col min="1" max="1" width="14.140625" style="15" customWidth="1"/>
    <col min="2" max="2" width="39.28515625" style="16" customWidth="1"/>
    <col min="3" max="3" width="12.85546875" style="17" bestFit="1" customWidth="1"/>
    <col min="4" max="4" width="16.28515625" style="17" bestFit="1" customWidth="1"/>
    <col min="5" max="5" width="12.85546875" style="17" bestFit="1" customWidth="1"/>
    <col min="6" max="6" width="16.7109375" style="17" customWidth="1"/>
    <col min="7" max="7" width="13.28515625" style="17" customWidth="1"/>
    <col min="8" max="8" width="13.85546875" style="17" customWidth="1"/>
    <col min="9" max="9" width="61.140625" style="18" customWidth="1"/>
    <col min="10" max="10" width="15" style="17" customWidth="1"/>
    <col min="11" max="11" width="19.85546875" style="17" bestFit="1" customWidth="1"/>
    <col min="12" max="12" width="16.140625" style="17" customWidth="1"/>
    <col min="13" max="13" width="15.28515625" style="10" customWidth="1"/>
    <col min="14" max="14" width="44.5703125" style="10" customWidth="1"/>
    <col min="15" max="16" width="15.85546875" style="10" customWidth="1"/>
    <col min="17" max="17" width="17.7109375" style="10" customWidth="1"/>
    <col min="18" max="18" width="15.85546875" style="10" customWidth="1"/>
    <col min="19" max="19" width="22.5703125" style="10" customWidth="1"/>
    <col min="20" max="20" width="15.85546875" style="10" customWidth="1"/>
    <col min="21" max="21" width="18.7109375" style="10" customWidth="1"/>
    <col min="22" max="22" width="16.7109375" style="10" customWidth="1"/>
    <col min="23" max="23" width="14.42578125" style="10" customWidth="1"/>
    <col min="24" max="24" width="17.28515625" style="10" customWidth="1"/>
    <col min="25" max="25" width="14.42578125" style="10" customWidth="1"/>
    <col min="26" max="26" width="15.7109375" style="10" customWidth="1"/>
    <col min="27" max="27" width="15.85546875" style="17" customWidth="1"/>
    <col min="28" max="28" width="16.7109375" style="10" customWidth="1"/>
    <col min="29" max="16384" width="11.42578125" style="10"/>
  </cols>
  <sheetData>
    <row r="1" spans="1:28" ht="27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29</v>
      </c>
      <c r="N1" s="9" t="s">
        <v>28</v>
      </c>
      <c r="O1" s="9" t="s">
        <v>12</v>
      </c>
      <c r="P1" s="9" t="s">
        <v>32</v>
      </c>
      <c r="Q1" s="9" t="s">
        <v>34</v>
      </c>
      <c r="R1" s="9" t="s">
        <v>33</v>
      </c>
      <c r="S1" s="9" t="s">
        <v>35</v>
      </c>
      <c r="T1" s="9" t="s">
        <v>44</v>
      </c>
      <c r="U1" s="9" t="s">
        <v>36</v>
      </c>
      <c r="V1" s="8" t="s">
        <v>43</v>
      </c>
      <c r="W1" s="8" t="s">
        <v>39</v>
      </c>
      <c r="X1" s="8" t="s">
        <v>41</v>
      </c>
      <c r="Y1" s="8" t="s">
        <v>40</v>
      </c>
      <c r="Z1" s="8" t="s">
        <v>42</v>
      </c>
      <c r="AA1" s="8" t="s">
        <v>37</v>
      </c>
      <c r="AB1" s="8" t="s">
        <v>38</v>
      </c>
    </row>
    <row r="2" spans="1:28" ht="16.5" x14ac:dyDescent="0.25">
      <c r="A2" s="28">
        <v>52114146</v>
      </c>
      <c r="B2" s="11" t="s">
        <v>13</v>
      </c>
      <c r="C2" s="1">
        <v>4000000.0000000005</v>
      </c>
      <c r="D2" s="2">
        <v>0</v>
      </c>
      <c r="E2" s="12">
        <v>0</v>
      </c>
      <c r="F2" s="12">
        <v>0</v>
      </c>
      <c r="G2" s="12">
        <v>0</v>
      </c>
      <c r="H2" s="20">
        <v>500000</v>
      </c>
      <c r="I2" s="21" t="s">
        <v>47</v>
      </c>
      <c r="J2" s="23">
        <v>3500000.0000000005</v>
      </c>
      <c r="K2" s="12">
        <v>0</v>
      </c>
      <c r="L2" s="12">
        <v>0</v>
      </c>
      <c r="M2" s="12">
        <v>0</v>
      </c>
      <c r="N2" s="19"/>
      <c r="O2" s="13">
        <f>K2-L2-M2</f>
        <v>0</v>
      </c>
      <c r="P2" s="13">
        <v>0</v>
      </c>
      <c r="Q2" s="27">
        <v>0</v>
      </c>
      <c r="R2" s="27">
        <v>0</v>
      </c>
      <c r="S2" s="27">
        <v>0</v>
      </c>
      <c r="T2" s="13">
        <v>0</v>
      </c>
      <c r="U2" s="27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27">
        <v>0</v>
      </c>
    </row>
    <row r="3" spans="1:28" ht="16.5" x14ac:dyDescent="0.25">
      <c r="A3" s="28">
        <v>94288721</v>
      </c>
      <c r="B3" s="11" t="s">
        <v>14</v>
      </c>
      <c r="C3" s="4">
        <v>875452.5</v>
      </c>
      <c r="D3" s="5">
        <v>124547.49999999999</v>
      </c>
      <c r="E3" s="12">
        <v>0</v>
      </c>
      <c r="F3" s="12">
        <v>0</v>
      </c>
      <c r="G3" s="12">
        <v>0</v>
      </c>
      <c r="H3" s="20">
        <f>381484+35300</f>
        <v>416784</v>
      </c>
      <c r="I3" s="21" t="s">
        <v>48</v>
      </c>
      <c r="J3" s="24">
        <v>583216</v>
      </c>
      <c r="K3" s="12">
        <v>0</v>
      </c>
      <c r="L3" s="12">
        <v>0</v>
      </c>
      <c r="M3" s="12">
        <v>0</v>
      </c>
      <c r="N3" s="19"/>
      <c r="O3" s="13">
        <f t="shared" ref="O3:O19" si="0">K3-L3-M3</f>
        <v>0</v>
      </c>
      <c r="P3" s="13">
        <v>0</v>
      </c>
      <c r="Q3" s="27">
        <v>0</v>
      </c>
      <c r="R3" s="27">
        <v>0</v>
      </c>
      <c r="S3" s="27">
        <v>0</v>
      </c>
      <c r="T3" s="13">
        <v>0</v>
      </c>
      <c r="U3" s="27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27">
        <v>0</v>
      </c>
    </row>
    <row r="4" spans="1:28" ht="16.5" x14ac:dyDescent="0.25">
      <c r="A4" s="28">
        <v>1001200622</v>
      </c>
      <c r="B4" s="11" t="s">
        <v>15</v>
      </c>
      <c r="C4" s="4">
        <v>875452.5</v>
      </c>
      <c r="D4" s="5">
        <v>124547.49999999999</v>
      </c>
      <c r="E4" s="12">
        <v>0</v>
      </c>
      <c r="F4" s="12">
        <v>0</v>
      </c>
      <c r="G4" s="12">
        <v>0</v>
      </c>
      <c r="H4" s="20">
        <f>200000+44700</f>
        <v>244700</v>
      </c>
      <c r="I4" s="21" t="s">
        <v>49</v>
      </c>
      <c r="J4" s="24">
        <v>755300</v>
      </c>
      <c r="K4" s="12">
        <v>0</v>
      </c>
      <c r="L4" s="12">
        <v>0</v>
      </c>
      <c r="M4" s="12">
        <v>0</v>
      </c>
      <c r="N4" s="25"/>
      <c r="O4" s="13">
        <f t="shared" si="0"/>
        <v>0</v>
      </c>
      <c r="P4" s="13">
        <v>0</v>
      </c>
      <c r="Q4" s="27">
        <v>0</v>
      </c>
      <c r="R4" s="27">
        <v>0</v>
      </c>
      <c r="S4" s="27">
        <v>0</v>
      </c>
      <c r="T4" s="13">
        <v>0</v>
      </c>
      <c r="U4" s="27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27">
        <v>0</v>
      </c>
    </row>
    <row r="5" spans="1:28" ht="16.5" x14ac:dyDescent="0.25">
      <c r="A5" s="28">
        <v>1001045472</v>
      </c>
      <c r="B5" s="11" t="s">
        <v>16</v>
      </c>
      <c r="C5" s="4">
        <v>875452.5</v>
      </c>
      <c r="D5" s="5">
        <v>107941.16666666666</v>
      </c>
      <c r="E5" s="12">
        <v>0</v>
      </c>
      <c r="F5" s="12">
        <v>0</v>
      </c>
      <c r="G5" s="12">
        <v>0</v>
      </c>
      <c r="H5" s="20">
        <v>0</v>
      </c>
      <c r="I5" s="21" t="s">
        <v>50</v>
      </c>
      <c r="J5" s="24">
        <v>983393.66666666663</v>
      </c>
      <c r="K5" s="12">
        <v>0</v>
      </c>
      <c r="L5" s="12">
        <v>0</v>
      </c>
      <c r="M5" s="12">
        <v>0</v>
      </c>
      <c r="N5" s="19"/>
      <c r="O5" s="13">
        <f t="shared" si="0"/>
        <v>0</v>
      </c>
      <c r="P5" s="13">
        <v>0</v>
      </c>
      <c r="Q5" s="27">
        <v>0</v>
      </c>
      <c r="R5" s="27">
        <v>0</v>
      </c>
      <c r="S5" s="27">
        <v>0</v>
      </c>
      <c r="T5" s="13">
        <v>0</v>
      </c>
      <c r="U5" s="27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27">
        <v>0</v>
      </c>
    </row>
    <row r="6" spans="1:28" ht="16.5" x14ac:dyDescent="0.25">
      <c r="A6" s="28">
        <v>80875830</v>
      </c>
      <c r="B6" s="11" t="s">
        <v>17</v>
      </c>
      <c r="C6" s="4">
        <v>875452.5</v>
      </c>
      <c r="D6" s="5">
        <v>124547.49999999999</v>
      </c>
      <c r="E6" s="12">
        <v>0</v>
      </c>
      <c r="F6" s="12">
        <v>0</v>
      </c>
      <c r="G6" s="12">
        <v>0</v>
      </c>
      <c r="H6" s="20">
        <v>0</v>
      </c>
      <c r="I6" s="21"/>
      <c r="J6" s="24">
        <v>1000000</v>
      </c>
      <c r="K6" s="12">
        <v>0</v>
      </c>
      <c r="L6" s="12">
        <v>0</v>
      </c>
      <c r="M6" s="12">
        <v>0</v>
      </c>
      <c r="N6" s="19"/>
      <c r="O6" s="13">
        <f t="shared" si="0"/>
        <v>0</v>
      </c>
      <c r="P6" s="13">
        <v>0</v>
      </c>
      <c r="Q6" s="27">
        <v>0</v>
      </c>
      <c r="R6" s="27">
        <v>0</v>
      </c>
      <c r="S6" s="27">
        <v>0</v>
      </c>
      <c r="T6" s="13">
        <v>0</v>
      </c>
      <c r="U6" s="27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27">
        <v>0</v>
      </c>
    </row>
    <row r="7" spans="1:28" ht="16.5" x14ac:dyDescent="0.25">
      <c r="A7" s="28">
        <v>1006116706</v>
      </c>
      <c r="B7" s="11" t="s">
        <v>18</v>
      </c>
      <c r="C7" s="4">
        <v>817089</v>
      </c>
      <c r="D7" s="5">
        <v>116244.33333333333</v>
      </c>
      <c r="E7" s="12">
        <v>0</v>
      </c>
      <c r="F7" s="12">
        <v>0</v>
      </c>
      <c r="G7" s="12">
        <v>0</v>
      </c>
      <c r="H7" s="20">
        <v>44700</v>
      </c>
      <c r="I7" s="21" t="s">
        <v>51</v>
      </c>
      <c r="J7" s="24">
        <v>888633.33333333337</v>
      </c>
      <c r="K7" s="12">
        <v>0</v>
      </c>
      <c r="L7" s="12">
        <v>0</v>
      </c>
      <c r="M7" s="12">
        <v>0</v>
      </c>
      <c r="N7" s="26"/>
      <c r="O7" s="13">
        <v>0</v>
      </c>
      <c r="P7" s="13">
        <v>0</v>
      </c>
      <c r="Q7" s="27">
        <v>0</v>
      </c>
      <c r="R7" s="27">
        <v>0</v>
      </c>
      <c r="S7" s="27">
        <v>0</v>
      </c>
      <c r="T7" s="13">
        <v>0</v>
      </c>
      <c r="U7" s="27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27">
        <v>0</v>
      </c>
    </row>
    <row r="8" spans="1:28" ht="16.5" x14ac:dyDescent="0.25">
      <c r="A8" s="28">
        <v>1193092448</v>
      </c>
      <c r="B8" s="11" t="s">
        <v>19</v>
      </c>
      <c r="C8" s="4">
        <v>875452.5</v>
      </c>
      <c r="D8" s="5">
        <v>124547.49999999999</v>
      </c>
      <c r="E8" s="12">
        <v>0</v>
      </c>
      <c r="F8" s="12">
        <v>0</v>
      </c>
      <c r="G8" s="12">
        <v>0</v>
      </c>
      <c r="H8" s="20">
        <f>132769+35300</f>
        <v>168069</v>
      </c>
      <c r="I8" s="21" t="s">
        <v>52</v>
      </c>
      <c r="J8" s="24">
        <v>831931</v>
      </c>
      <c r="K8" s="12">
        <v>0</v>
      </c>
      <c r="L8" s="12">
        <v>0</v>
      </c>
      <c r="M8" s="12">
        <v>0</v>
      </c>
      <c r="N8" s="25"/>
      <c r="O8" s="13">
        <v>0</v>
      </c>
      <c r="P8" s="13">
        <v>0</v>
      </c>
      <c r="Q8" s="27">
        <v>0</v>
      </c>
      <c r="R8" s="27">
        <v>0</v>
      </c>
      <c r="S8" s="27">
        <v>0</v>
      </c>
      <c r="T8" s="13">
        <v>0</v>
      </c>
      <c r="U8" s="27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27">
        <v>0</v>
      </c>
    </row>
    <row r="9" spans="1:28" ht="16.5" x14ac:dyDescent="0.25">
      <c r="A9" s="28">
        <v>79910037</v>
      </c>
      <c r="B9" s="11" t="s">
        <v>20</v>
      </c>
      <c r="C9" s="4">
        <v>875452.5</v>
      </c>
      <c r="D9" s="5">
        <v>124547.49999999999</v>
      </c>
      <c r="E9" s="12">
        <v>0</v>
      </c>
      <c r="F9" s="12">
        <v>0</v>
      </c>
      <c r="G9" s="12">
        <v>0</v>
      </c>
      <c r="H9" s="20">
        <v>0</v>
      </c>
      <c r="I9" s="21"/>
      <c r="J9" s="24">
        <v>1000000</v>
      </c>
      <c r="K9" s="12">
        <v>0</v>
      </c>
      <c r="L9" s="12">
        <v>0</v>
      </c>
      <c r="M9" s="12">
        <v>0</v>
      </c>
      <c r="N9" s="19"/>
      <c r="O9" s="13">
        <f t="shared" si="0"/>
        <v>0</v>
      </c>
      <c r="P9" s="13">
        <v>0</v>
      </c>
      <c r="Q9" s="27">
        <v>0</v>
      </c>
      <c r="R9" s="27">
        <v>0</v>
      </c>
      <c r="S9" s="27">
        <v>0</v>
      </c>
      <c r="T9" s="13">
        <v>0</v>
      </c>
      <c r="U9" s="27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27">
        <v>0</v>
      </c>
    </row>
    <row r="10" spans="1:28" ht="16.5" x14ac:dyDescent="0.25">
      <c r="A10" s="28">
        <v>1000795016</v>
      </c>
      <c r="B10" s="11" t="s">
        <v>21</v>
      </c>
      <c r="C10" s="4">
        <v>1075000</v>
      </c>
      <c r="D10" s="5">
        <v>124547.49999999999</v>
      </c>
      <c r="E10" s="12">
        <v>0</v>
      </c>
      <c r="F10" s="12">
        <v>0</v>
      </c>
      <c r="G10" s="12">
        <v>0</v>
      </c>
      <c r="H10" s="20">
        <v>0</v>
      </c>
      <c r="I10" s="21"/>
      <c r="J10" s="24">
        <v>1199547.5</v>
      </c>
      <c r="K10" s="12">
        <v>0</v>
      </c>
      <c r="L10" s="12">
        <v>0</v>
      </c>
      <c r="M10" s="12">
        <v>0</v>
      </c>
      <c r="N10" s="26"/>
      <c r="O10" s="13">
        <f t="shared" si="0"/>
        <v>0</v>
      </c>
      <c r="P10" s="13">
        <v>0</v>
      </c>
      <c r="Q10" s="27">
        <v>0</v>
      </c>
      <c r="R10" s="27">
        <v>0</v>
      </c>
      <c r="S10" s="27">
        <v>0</v>
      </c>
      <c r="T10" s="13">
        <v>0</v>
      </c>
      <c r="U10" s="27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27">
        <v>0</v>
      </c>
    </row>
    <row r="11" spans="1:28" ht="16.5" x14ac:dyDescent="0.25">
      <c r="A11" s="28">
        <v>79593400</v>
      </c>
      <c r="B11" s="11" t="s">
        <v>22</v>
      </c>
      <c r="C11" s="4">
        <v>0</v>
      </c>
      <c r="D11" s="5">
        <v>0</v>
      </c>
      <c r="E11" s="12">
        <v>0</v>
      </c>
      <c r="F11" s="12">
        <v>0</v>
      </c>
      <c r="G11" s="12">
        <v>0</v>
      </c>
      <c r="H11" s="20">
        <v>0</v>
      </c>
      <c r="I11" s="21"/>
      <c r="J11" s="24">
        <v>0</v>
      </c>
      <c r="K11" s="12">
        <v>0</v>
      </c>
      <c r="L11" s="12">
        <v>0</v>
      </c>
      <c r="M11" s="12">
        <v>0</v>
      </c>
      <c r="N11" s="26"/>
      <c r="O11" s="13">
        <f t="shared" si="0"/>
        <v>0</v>
      </c>
      <c r="P11" s="13">
        <v>0</v>
      </c>
      <c r="Q11" s="27">
        <v>0</v>
      </c>
      <c r="R11" s="27">
        <v>0</v>
      </c>
      <c r="S11" s="27">
        <v>0</v>
      </c>
      <c r="T11" s="13">
        <v>0</v>
      </c>
      <c r="U11" s="27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27">
        <v>0</v>
      </c>
    </row>
    <row r="12" spans="1:28" ht="16.5" x14ac:dyDescent="0.25">
      <c r="A12" s="28">
        <v>1023029896</v>
      </c>
      <c r="B12" s="11" t="s">
        <v>23</v>
      </c>
      <c r="C12" s="4">
        <v>875452.5</v>
      </c>
      <c r="D12" s="5">
        <v>124547.49999999999</v>
      </c>
      <c r="E12" s="12">
        <v>0</v>
      </c>
      <c r="F12" s="12">
        <v>0</v>
      </c>
      <c r="G12" s="12">
        <v>0</v>
      </c>
      <c r="H12" s="20">
        <v>0</v>
      </c>
      <c r="I12" s="21"/>
      <c r="J12" s="24">
        <v>1000000</v>
      </c>
      <c r="K12" s="12">
        <v>0</v>
      </c>
      <c r="L12" s="12">
        <v>0</v>
      </c>
      <c r="M12" s="12">
        <v>0</v>
      </c>
      <c r="N12" s="26"/>
      <c r="O12" s="13">
        <f t="shared" si="0"/>
        <v>0</v>
      </c>
      <c r="P12" s="13">
        <v>0</v>
      </c>
      <c r="Q12" s="27">
        <v>0</v>
      </c>
      <c r="R12" s="27">
        <v>0</v>
      </c>
      <c r="S12" s="27">
        <v>0</v>
      </c>
      <c r="T12" s="13">
        <v>0</v>
      </c>
      <c r="U12" s="27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27">
        <v>0</v>
      </c>
    </row>
    <row r="13" spans="1:28" ht="16.5" x14ac:dyDescent="0.25">
      <c r="A13" s="28">
        <v>1015473856</v>
      </c>
      <c r="B13" s="11" t="s">
        <v>24</v>
      </c>
      <c r="C13" s="4">
        <v>1100000</v>
      </c>
      <c r="D13" s="5">
        <v>91334.833333333328</v>
      </c>
      <c r="E13" s="12">
        <v>0</v>
      </c>
      <c r="F13" s="12">
        <v>0</v>
      </c>
      <c r="G13" s="12">
        <v>0</v>
      </c>
      <c r="H13" s="20">
        <v>0</v>
      </c>
      <c r="I13" s="21" t="s">
        <v>53</v>
      </c>
      <c r="J13" s="24">
        <v>1191334.8333333333</v>
      </c>
      <c r="K13" s="12">
        <v>0</v>
      </c>
      <c r="L13" s="12">
        <v>0</v>
      </c>
      <c r="M13" s="12">
        <v>0</v>
      </c>
      <c r="N13" s="26"/>
      <c r="O13" s="13">
        <f t="shared" si="0"/>
        <v>0</v>
      </c>
      <c r="P13" s="13">
        <v>0</v>
      </c>
      <c r="Q13" s="27">
        <v>0</v>
      </c>
      <c r="R13" s="27">
        <v>0</v>
      </c>
      <c r="S13" s="27">
        <v>0</v>
      </c>
      <c r="T13" s="13">
        <v>0</v>
      </c>
      <c r="U13" s="27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27">
        <v>0</v>
      </c>
    </row>
    <row r="14" spans="1:28" ht="16.5" x14ac:dyDescent="0.25">
      <c r="A14" s="28">
        <v>1003533086</v>
      </c>
      <c r="B14" s="11" t="s">
        <v>25</v>
      </c>
      <c r="C14" s="4">
        <v>875452.5</v>
      </c>
      <c r="D14" s="5">
        <v>124547.49999999999</v>
      </c>
      <c r="E14" s="12">
        <v>0</v>
      </c>
      <c r="F14" s="12">
        <v>0</v>
      </c>
      <c r="G14" s="12">
        <v>0</v>
      </c>
      <c r="H14" s="20">
        <v>0</v>
      </c>
      <c r="I14" s="21"/>
      <c r="J14" s="24">
        <v>1000000</v>
      </c>
      <c r="K14" s="12">
        <v>0</v>
      </c>
      <c r="L14" s="12">
        <v>0</v>
      </c>
      <c r="M14" s="12">
        <v>0</v>
      </c>
      <c r="N14" s="26"/>
      <c r="O14" s="13">
        <f t="shared" si="0"/>
        <v>0</v>
      </c>
      <c r="P14" s="13">
        <v>0</v>
      </c>
      <c r="Q14" s="27">
        <v>0</v>
      </c>
      <c r="R14" s="27">
        <v>0</v>
      </c>
      <c r="S14" s="27">
        <v>0</v>
      </c>
      <c r="T14" s="13">
        <v>0</v>
      </c>
      <c r="U14" s="27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27">
        <v>0</v>
      </c>
    </row>
    <row r="15" spans="1:28" ht="16.5" x14ac:dyDescent="0.25">
      <c r="A15" s="28">
        <v>1028660836</v>
      </c>
      <c r="B15" s="11" t="s">
        <v>26</v>
      </c>
      <c r="C15" s="4">
        <v>817089</v>
      </c>
      <c r="D15" s="5">
        <v>116244.33333333333</v>
      </c>
      <c r="E15" s="12">
        <v>0</v>
      </c>
      <c r="F15" s="12">
        <v>0</v>
      </c>
      <c r="G15" s="12">
        <v>0</v>
      </c>
      <c r="H15" s="20">
        <v>215509</v>
      </c>
      <c r="I15" s="21" t="s">
        <v>54</v>
      </c>
      <c r="J15" s="24">
        <v>717824.33333333337</v>
      </c>
      <c r="K15" s="12">
        <v>0</v>
      </c>
      <c r="L15" s="12">
        <v>0</v>
      </c>
      <c r="M15" s="12">
        <v>0</v>
      </c>
      <c r="N15" s="26"/>
      <c r="O15" s="13">
        <f t="shared" si="0"/>
        <v>0</v>
      </c>
      <c r="P15" s="13">
        <v>0</v>
      </c>
      <c r="Q15" s="27">
        <v>0</v>
      </c>
      <c r="R15" s="27">
        <v>0</v>
      </c>
      <c r="S15" s="27">
        <v>0</v>
      </c>
      <c r="T15" s="13">
        <v>0</v>
      </c>
      <c r="U15" s="27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27">
        <v>0</v>
      </c>
    </row>
    <row r="16" spans="1:28" ht="16.5" x14ac:dyDescent="0.25">
      <c r="A16" s="28">
        <v>1053330769</v>
      </c>
      <c r="B16" s="11" t="s">
        <v>27</v>
      </c>
      <c r="C16" s="4">
        <v>875452.5</v>
      </c>
      <c r="D16" s="5">
        <v>124547.49999999999</v>
      </c>
      <c r="E16" s="12">
        <v>0</v>
      </c>
      <c r="F16" s="12">
        <v>0</v>
      </c>
      <c r="G16" s="12">
        <v>0</v>
      </c>
      <c r="H16" s="20">
        <v>100000</v>
      </c>
      <c r="I16" s="22" t="s">
        <v>55</v>
      </c>
      <c r="J16" s="24">
        <v>900000</v>
      </c>
      <c r="K16" s="12">
        <v>0</v>
      </c>
      <c r="L16" s="12">
        <v>0</v>
      </c>
      <c r="M16" s="12">
        <v>0</v>
      </c>
      <c r="N16" s="26"/>
      <c r="O16" s="13">
        <f t="shared" si="0"/>
        <v>0</v>
      </c>
      <c r="P16" s="13">
        <v>0</v>
      </c>
      <c r="Q16" s="27">
        <v>0</v>
      </c>
      <c r="R16" s="27">
        <v>0</v>
      </c>
      <c r="S16" s="27">
        <v>0</v>
      </c>
      <c r="T16" s="13">
        <v>0</v>
      </c>
      <c r="U16" s="27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27">
        <v>0</v>
      </c>
    </row>
    <row r="17" spans="1:28" ht="16.5" x14ac:dyDescent="0.25">
      <c r="A17" s="28">
        <v>1013673759</v>
      </c>
      <c r="B17" s="11" t="s">
        <v>30</v>
      </c>
      <c r="C17" s="4">
        <v>875452.5</v>
      </c>
      <c r="D17" s="5">
        <v>116244.33333333333</v>
      </c>
      <c r="E17" s="12">
        <v>0</v>
      </c>
      <c r="F17" s="12">
        <v>0</v>
      </c>
      <c r="G17" s="12">
        <v>0</v>
      </c>
      <c r="H17" s="20">
        <v>141141</v>
      </c>
      <c r="I17" s="22" t="s">
        <v>56</v>
      </c>
      <c r="J17" s="24">
        <v>850555.83333333337</v>
      </c>
      <c r="K17" s="12">
        <v>0</v>
      </c>
      <c r="L17" s="12">
        <v>0</v>
      </c>
      <c r="M17" s="12">
        <v>0</v>
      </c>
      <c r="N17" s="26"/>
      <c r="O17" s="13">
        <f t="shared" si="0"/>
        <v>0</v>
      </c>
      <c r="P17" s="13">
        <v>0</v>
      </c>
      <c r="Q17" s="27" t="s">
        <v>45</v>
      </c>
      <c r="R17" s="27">
        <v>0</v>
      </c>
      <c r="S17" s="27">
        <v>0</v>
      </c>
      <c r="T17" s="13">
        <v>0</v>
      </c>
      <c r="U17" s="27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27">
        <v>0</v>
      </c>
    </row>
    <row r="18" spans="1:28" ht="16.5" x14ac:dyDescent="0.25">
      <c r="A18" s="28">
        <v>1003483344</v>
      </c>
      <c r="B18" s="11" t="s">
        <v>31</v>
      </c>
      <c r="C18" s="4">
        <v>875452.5</v>
      </c>
      <c r="D18" s="5">
        <v>124547.49999999999</v>
      </c>
      <c r="E18" s="12">
        <v>0</v>
      </c>
      <c r="F18" s="12">
        <v>0</v>
      </c>
      <c r="G18" s="12">
        <v>0</v>
      </c>
      <c r="H18" s="20">
        <v>29181</v>
      </c>
      <c r="I18" s="22" t="s">
        <v>57</v>
      </c>
      <c r="J18" s="24">
        <v>970819</v>
      </c>
      <c r="K18" s="12">
        <v>0</v>
      </c>
      <c r="L18" s="12">
        <v>0</v>
      </c>
      <c r="M18" s="12">
        <v>0</v>
      </c>
      <c r="N18" s="26"/>
      <c r="O18" s="13">
        <f t="shared" si="0"/>
        <v>0</v>
      </c>
      <c r="P18" s="13">
        <v>0</v>
      </c>
      <c r="Q18" s="27">
        <v>0</v>
      </c>
      <c r="R18" s="27">
        <v>0</v>
      </c>
      <c r="S18" s="27">
        <v>0</v>
      </c>
      <c r="T18" s="13">
        <v>0</v>
      </c>
      <c r="U18" s="27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27">
        <v>0</v>
      </c>
    </row>
    <row r="19" spans="1:28" ht="16.5" x14ac:dyDescent="0.25">
      <c r="A19" s="28">
        <v>1121959063</v>
      </c>
      <c r="B19" s="11" t="s">
        <v>46</v>
      </c>
      <c r="C19" s="4">
        <v>58363.5</v>
      </c>
      <c r="D19" s="5">
        <v>8303.1666666666661</v>
      </c>
      <c r="E19" s="12">
        <v>0</v>
      </c>
      <c r="F19" s="12">
        <v>0</v>
      </c>
      <c r="G19" s="12">
        <v>0</v>
      </c>
      <c r="H19" s="20">
        <v>0</v>
      </c>
      <c r="I19" s="22" t="s">
        <v>58</v>
      </c>
      <c r="J19" s="24">
        <v>66666.666666666672</v>
      </c>
      <c r="K19" s="12">
        <v>0</v>
      </c>
      <c r="L19" s="12">
        <v>0</v>
      </c>
      <c r="M19" s="12">
        <v>0</v>
      </c>
      <c r="N19" s="26"/>
      <c r="O19" s="13">
        <v>0</v>
      </c>
      <c r="P19" s="13">
        <v>0</v>
      </c>
      <c r="Q19" s="27">
        <v>0</v>
      </c>
      <c r="R19" s="27">
        <v>0</v>
      </c>
      <c r="S19" s="27">
        <v>0</v>
      </c>
      <c r="T19" s="13">
        <v>0</v>
      </c>
      <c r="U19" s="27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27">
        <v>0</v>
      </c>
    </row>
    <row r="20" spans="1:28" x14ac:dyDescent="0.25">
      <c r="A20" s="28"/>
      <c r="B20" s="11"/>
      <c r="C20" s="4"/>
      <c r="D20" s="5"/>
      <c r="E20" s="12"/>
      <c r="F20" s="12"/>
      <c r="G20" s="12"/>
      <c r="H20" s="12"/>
      <c r="I20" s="3"/>
      <c r="J20" s="12"/>
      <c r="K20" s="12"/>
      <c r="L20" s="12"/>
      <c r="M20" s="14"/>
      <c r="N20" s="14"/>
      <c r="O20" s="14"/>
      <c r="P20" s="14"/>
      <c r="Q20" s="27"/>
      <c r="R20" s="27"/>
      <c r="S20" s="27"/>
      <c r="T20" s="14"/>
      <c r="U20" s="27"/>
      <c r="V20" s="12"/>
      <c r="W20" s="12"/>
      <c r="X20" s="12"/>
      <c r="Y20" s="12"/>
      <c r="Z20" s="12"/>
      <c r="AA20" s="12"/>
      <c r="AB20" s="27"/>
    </row>
    <row r="25" spans="1:28" x14ac:dyDescent="0.25">
      <c r="B25" s="15"/>
    </row>
    <row r="26" spans="1:28" x14ac:dyDescent="0.25">
      <c r="B26" s="15"/>
    </row>
    <row r="27" spans="1:28" x14ac:dyDescent="0.25">
      <c r="B27" s="15"/>
    </row>
    <row r="28" spans="1:28" x14ac:dyDescent="0.25">
      <c r="B28" s="15"/>
    </row>
    <row r="29" spans="1:28" x14ac:dyDescent="0.25">
      <c r="B29" s="15"/>
    </row>
    <row r="30" spans="1:28" x14ac:dyDescent="0.25">
      <c r="B30" s="15"/>
    </row>
    <row r="31" spans="1:28" x14ac:dyDescent="0.25">
      <c r="B31" s="15"/>
    </row>
    <row r="32" spans="1:28" x14ac:dyDescent="0.25">
      <c r="B32" s="15"/>
    </row>
    <row r="33" spans="2:2" x14ac:dyDescent="0.25">
      <c r="B3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Alpartes</dc:creator>
  <cp:lastModifiedBy>USUARIO</cp:lastModifiedBy>
  <dcterms:created xsi:type="dcterms:W3CDTF">2026-05-28T18:34:26Z</dcterms:created>
  <dcterms:modified xsi:type="dcterms:W3CDTF">2026-10-21T14:58:51Z</dcterms:modified>
</cp:coreProperties>
</file>